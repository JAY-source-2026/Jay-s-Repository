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원종명\Desktop\"/>
    </mc:Choice>
  </mc:AlternateContent>
  <xr:revisionPtr revIDLastSave="0" documentId="13_ncr:1_{343B3983-00C4-4DA7-8413-8511F4930B68}" xr6:coauthVersionLast="36" xr6:coauthVersionMax="47" xr10:uidLastSave="{00000000-0000-0000-0000-000000000000}"/>
  <bookViews>
    <workbookView xWindow="-120" yWindow="-120" windowWidth="29040" windowHeight="15840" xr2:uid="{95BE676D-BF19-4FD4-ADB4-612CAACDFDA4}"/>
  </bookViews>
  <sheets>
    <sheet name="전체 견적서" sheetId="4" r:id="rId1"/>
  </sheets>
  <definedNames>
    <definedName name="_xlnm.Print_Area" localSheetId="0">'전체 견적서'!$A$1:$H$44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4" l="1"/>
  <c r="G16" i="4"/>
  <c r="G17" i="4"/>
  <c r="G18" i="4"/>
  <c r="G19" i="4"/>
  <c r="G20" i="4"/>
  <c r="G21" i="4"/>
  <c r="G22" i="4"/>
  <c r="G23" i="4"/>
  <c r="G24" i="4"/>
  <c r="H14" i="4" l="1"/>
  <c r="B40" i="4" l="1"/>
  <c r="B39" i="4"/>
  <c r="B38" i="4"/>
  <c r="O4" i="4"/>
  <c r="N4" i="4"/>
  <c r="F3" i="4"/>
  <c r="B3" i="4"/>
  <c r="G2" i="4"/>
  <c r="P4" i="4" l="1"/>
  <c r="R4" i="4" s="1"/>
  <c r="F14" i="4" s="1"/>
  <c r="G14" i="4" s="1"/>
  <c r="C14" i="4"/>
  <c r="G34" i="4" l="1"/>
  <c r="F10" i="4" s="1"/>
  <c r="B10" i="4" s="1"/>
</calcChain>
</file>

<file path=xl/sharedStrings.xml><?xml version="1.0" encoding="utf-8"?>
<sst xmlns="http://schemas.openxmlformats.org/spreadsheetml/2006/main" count="70" uniqueCount="62">
  <si>
    <t>내화채움보드M</t>
    <phoneticPr fontId="2" type="noConversion"/>
  </si>
  <si>
    <t>見    積    書</t>
    <phoneticPr fontId="10" type="noConversion"/>
  </si>
  <si>
    <t xml:space="preserve">■ 공 사 명 : </t>
  </si>
  <si>
    <t xml:space="preserve">         ( 주 )  디 오 이 엔 씨</t>
    <phoneticPr fontId="10" type="noConversion"/>
  </si>
  <si>
    <t>경기도 화성시 정남면 안념길 121-12 DOENC&amp;WONJIN</t>
    <phoneticPr fontId="10" type="noConversion"/>
  </si>
  <si>
    <t>◇ 내화구조  : CONSULTING,ENGINEERING</t>
    <phoneticPr fontId="16" type="noConversion"/>
  </si>
  <si>
    <t>대표이사    원   철   희    (인)</t>
    <phoneticPr fontId="10" type="noConversion"/>
  </si>
  <si>
    <t xml:space="preserve">                  : PRODUCT,CONSTRUCTION</t>
    <phoneticPr fontId="16" type="noConversion"/>
  </si>
  <si>
    <t>TEL :  02-925-2992  F : 02-929-5927</t>
    <phoneticPr fontId="10" type="noConversion"/>
  </si>
  <si>
    <t xml:space="preserve">                  : RESEARCH &amp; DEVELOPMENT</t>
    <phoneticPr fontId="16" type="noConversion"/>
  </si>
  <si>
    <t>URL :  www.doenc.com</t>
    <phoneticPr fontId="10" type="noConversion"/>
  </si>
  <si>
    <t>아래와   같이   견적합니다.</t>
    <phoneticPr fontId="10" type="noConversion"/>
  </si>
  <si>
    <t xml:space="preserve">■ 합 계 금 액: </t>
    <phoneticPr fontId="2" type="noConversion"/>
  </si>
  <si>
    <t>［V.A.T. 별도］</t>
    <phoneticPr fontId="10" type="noConversion"/>
  </si>
  <si>
    <t>제품명</t>
    <phoneticPr fontId="10" type="noConversion"/>
  </si>
  <si>
    <t>규  격(W X H)</t>
    <phoneticPr fontId="10" type="noConversion"/>
  </si>
  <si>
    <t>단 위</t>
    <phoneticPr fontId="10" type="noConversion"/>
  </si>
  <si>
    <t>수  량</t>
    <phoneticPr fontId="10" type="noConversion"/>
  </si>
  <si>
    <t>단  가</t>
    <phoneticPr fontId="10" type="noConversion"/>
  </si>
  <si>
    <t>금  액</t>
    <phoneticPr fontId="10" type="noConversion"/>
  </si>
  <si>
    <t>비  고</t>
    <phoneticPr fontId="10" type="noConversion"/>
  </si>
  <si>
    <t>PRODUCT NAME</t>
    <phoneticPr fontId="10" type="noConversion"/>
  </si>
  <si>
    <t>SIZE</t>
    <phoneticPr fontId="10" type="noConversion"/>
  </si>
  <si>
    <t>UNIT</t>
    <phoneticPr fontId="10" type="noConversion"/>
  </si>
  <si>
    <t>Q'TY</t>
    <phoneticPr fontId="10" type="noConversion"/>
  </si>
  <si>
    <t>UNIT PRICE</t>
    <phoneticPr fontId="10" type="noConversion"/>
  </si>
  <si>
    <t>AMOUNT</t>
    <phoneticPr fontId="10" type="noConversion"/>
  </si>
  <si>
    <t>REMARK</t>
    <phoneticPr fontId="10" type="noConversion"/>
  </si>
  <si>
    <t>TOTAL</t>
    <phoneticPr fontId="16" type="noConversion"/>
  </si>
  <si>
    <t>■ 견적 특기사항</t>
    <phoneticPr fontId="10" type="noConversion"/>
  </si>
  <si>
    <t>1. 운송비 500만원 이하 별도 청구(화물로 수령 시 화물비 착불)</t>
    <phoneticPr fontId="2" type="noConversion"/>
  </si>
  <si>
    <t>2. 자재납품 견적</t>
    <phoneticPr fontId="18" type="noConversion"/>
  </si>
  <si>
    <t>3. 현장명</t>
    <phoneticPr fontId="2" type="noConversion"/>
  </si>
  <si>
    <t>4. 주소</t>
    <phoneticPr fontId="2" type="noConversion"/>
  </si>
  <si>
    <t>5. 담당자</t>
    <phoneticPr fontId="2" type="noConversion"/>
  </si>
  <si>
    <t>귀중</t>
    <phoneticPr fontId="2" type="noConversion"/>
  </si>
  <si>
    <t>제출일자 :</t>
    <phoneticPr fontId="10" type="noConversion"/>
  </si>
  <si>
    <t>6. 자재산출 요청시 자재 환불 불가</t>
    <phoneticPr fontId="2" type="noConversion"/>
  </si>
  <si>
    <t>7. 익월말 현금 결제</t>
    <phoneticPr fontId="2" type="noConversion"/>
  </si>
  <si>
    <t>SET</t>
  </si>
  <si>
    <t>세라믹섬유블랭킷(SFI-100)</t>
  </si>
  <si>
    <t>철선</t>
  </si>
  <si>
    <t>알루미늄테이프</t>
  </si>
  <si>
    <t>내화실리콘실란트(SFS-100)</t>
  </si>
  <si>
    <t>런너 50형</t>
  </si>
  <si>
    <t>보드형 나사못</t>
  </si>
  <si>
    <t>런너형 나사못</t>
  </si>
  <si>
    <t>400*7320*25T-96K</t>
  </si>
  <si>
    <t>1.6T*100M</t>
  </si>
  <si>
    <t>100*100M</t>
  </si>
  <si>
    <t>310㎖</t>
  </si>
  <si>
    <t>52*40*L3000*0.8T</t>
  </si>
  <si>
    <t>8*64</t>
  </si>
  <si>
    <t>10*38</t>
  </si>
  <si>
    <t>롤</t>
  </si>
  <si>
    <t>EA</t>
  </si>
  <si>
    <t>봉</t>
  </si>
  <si>
    <t>488.4*276.3*12.2T</t>
  </si>
  <si>
    <t>정도 8층-53</t>
  </si>
  <si>
    <t>운반비</t>
  </si>
  <si>
    <t>610*7320*25T-96K</t>
  </si>
  <si>
    <t>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</si>
</sst>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177" formatCode="_-* #,##0.0_-;\-* #,##0.0_-;_-* &quot;-&quot;_-;_-@_-"/>
    <numFmt numFmtId="178" formatCode="&quot;₩&quot;#,##0_);\(&quot;₩&quot;#,##0\)"/>
    <numFmt numFmtId="179" formatCode="_-* #,##0.00000_-;\-* #,##0.00000_-;_-* &quot;-&quot;_-;_-@_-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u val="double"/>
      <sz val="24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sz val="22"/>
      <name val="굴림체"/>
      <family val="3"/>
      <charset val="129"/>
    </font>
    <font>
      <b/>
      <sz val="9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name val="돋움"/>
      <family val="3"/>
      <charset val="129"/>
    </font>
    <font>
      <sz val="9"/>
      <name val="돋움"/>
      <family val="3"/>
      <charset val="129"/>
    </font>
    <font>
      <b/>
      <sz val="12"/>
      <name val="견고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41" fontId="11" fillId="0" borderId="1" xfId="3" applyFont="1" applyBorder="1" applyAlignment="1">
      <alignment vertical="center"/>
    </xf>
    <xf numFmtId="41" fontId="7" fillId="0" borderId="2" xfId="3" applyFont="1" applyBorder="1" applyAlignment="1">
      <alignment vertical="center"/>
    </xf>
    <xf numFmtId="14" fontId="7" fillId="0" borderId="2" xfId="3" applyNumberFormat="1" applyFont="1" applyBorder="1" applyAlignment="1">
      <alignment horizontal="left" vertical="center"/>
    </xf>
    <xf numFmtId="41" fontId="12" fillId="0" borderId="2" xfId="3" applyFont="1" applyBorder="1" applyAlignment="1">
      <alignment vertical="center"/>
    </xf>
    <xf numFmtId="41" fontId="14" fillId="2" borderId="3" xfId="3" applyFont="1" applyFill="1" applyBorder="1" applyAlignment="1">
      <alignment vertical="center"/>
    </xf>
    <xf numFmtId="41" fontId="15" fillId="0" borderId="0" xfId="3" applyFont="1" applyAlignment="1">
      <alignment vertical="center"/>
    </xf>
    <xf numFmtId="41" fontId="5" fillId="2" borderId="3" xfId="3" applyFont="1" applyFill="1" applyBorder="1" applyAlignment="1">
      <alignment vertical="center"/>
    </xf>
    <xf numFmtId="41" fontId="11" fillId="0" borderId="0" xfId="3" applyFont="1" applyAlignment="1">
      <alignment vertical="center"/>
    </xf>
    <xf numFmtId="41" fontId="5" fillId="2" borderId="0" xfId="3" applyFont="1" applyFill="1" applyAlignment="1">
      <alignment horizontal="left" vertical="center" indent="5"/>
    </xf>
    <xf numFmtId="41" fontId="5" fillId="2" borderId="0" xfId="3" applyFont="1" applyFill="1" applyAlignment="1">
      <alignment vertical="center"/>
    </xf>
    <xf numFmtId="177" fontId="5" fillId="2" borderId="0" xfId="3" applyNumberFormat="1" applyFont="1" applyFill="1" applyAlignment="1">
      <alignment vertical="center"/>
    </xf>
    <xf numFmtId="41" fontId="5" fillId="2" borderId="0" xfId="3" applyFont="1" applyFill="1" applyBorder="1" applyAlignment="1">
      <alignment horizontal="left" vertical="center" indent="5"/>
    </xf>
    <xf numFmtId="41" fontId="5" fillId="2" borderId="0" xfId="3" applyFont="1" applyFill="1" applyBorder="1" applyAlignment="1">
      <alignment vertical="center"/>
    </xf>
    <xf numFmtId="41" fontId="4" fillId="0" borderId="1" xfId="3" applyFont="1" applyBorder="1" applyAlignment="1">
      <alignment horizontal="left" vertical="center" indent="5"/>
    </xf>
    <xf numFmtId="41" fontId="4" fillId="0" borderId="1" xfId="3" applyFont="1" applyBorder="1" applyAlignment="1">
      <alignment vertical="center"/>
    </xf>
    <xf numFmtId="41" fontId="5" fillId="2" borderId="1" xfId="3" applyFont="1" applyFill="1" applyBorder="1" applyAlignment="1">
      <alignment vertical="center"/>
    </xf>
    <xf numFmtId="41" fontId="7" fillId="0" borderId="1" xfId="3" applyFont="1" applyBorder="1" applyAlignment="1">
      <alignment vertical="center"/>
    </xf>
    <xf numFmtId="41" fontId="12" fillId="0" borderId="1" xfId="3" applyFont="1" applyBorder="1" applyAlignment="1">
      <alignment horizontal="center" vertical="center"/>
    </xf>
    <xf numFmtId="41" fontId="4" fillId="0" borderId="3" xfId="3" applyFont="1" applyBorder="1" applyAlignment="1">
      <alignment horizontal="center" vertical="center"/>
    </xf>
    <xf numFmtId="41" fontId="4" fillId="0" borderId="1" xfId="3" applyFont="1" applyBorder="1" applyAlignment="1">
      <alignment horizontal="center" vertical="center"/>
    </xf>
    <xf numFmtId="41" fontId="4" fillId="0" borderId="0" xfId="3" applyFont="1" applyBorder="1" applyAlignment="1">
      <alignment horizontal="center" vertical="center"/>
    </xf>
    <xf numFmtId="0" fontId="4" fillId="0" borderId="0" xfId="3" applyNumberFormat="1" applyFont="1" applyBorder="1" applyAlignment="1">
      <alignment horizontal="center" vertical="center"/>
    </xf>
    <xf numFmtId="177" fontId="4" fillId="0" borderId="0" xfId="3" applyNumberFormat="1" applyFont="1" applyFill="1" applyBorder="1">
      <alignment vertical="center"/>
    </xf>
    <xf numFmtId="41" fontId="4" fillId="0" borderId="0" xfId="3" applyFont="1" applyAlignment="1">
      <alignment vertical="center"/>
    </xf>
    <xf numFmtId="41" fontId="4" fillId="0" borderId="0" xfId="3" applyFont="1" applyFill="1" applyBorder="1">
      <alignment vertical="center"/>
    </xf>
    <xf numFmtId="41" fontId="17" fillId="0" borderId="0" xfId="3" applyFont="1" applyAlignment="1">
      <alignment horizontal="center" vertical="center"/>
    </xf>
    <xf numFmtId="41" fontId="5" fillId="0" borderId="0" xfId="3" applyFont="1" applyAlignment="1">
      <alignment horizontal="center" vertical="center"/>
    </xf>
    <xf numFmtId="41" fontId="17" fillId="0" borderId="1" xfId="3" applyFont="1" applyBorder="1" applyAlignment="1">
      <alignment vertical="center"/>
    </xf>
    <xf numFmtId="41" fontId="5" fillId="0" borderId="1" xfId="3" applyFont="1" applyBorder="1" applyAlignment="1">
      <alignment vertical="center"/>
    </xf>
    <xf numFmtId="178" fontId="17" fillId="0" borderId="1" xfId="3" applyNumberFormat="1" applyFont="1" applyBorder="1" applyAlignment="1">
      <alignment vertical="center"/>
    </xf>
    <xf numFmtId="41" fontId="5" fillId="0" borderId="0" xfId="3" applyFont="1" applyAlignment="1">
      <alignment vertical="center"/>
    </xf>
    <xf numFmtId="14" fontId="5" fillId="0" borderId="0" xfId="3" applyNumberFormat="1" applyFont="1" applyAlignment="1">
      <alignment horizontal="left" vertical="center"/>
    </xf>
    <xf numFmtId="41" fontId="5" fillId="0" borderId="0" xfId="3" applyFont="1" applyAlignment="1">
      <alignment horizontal="left" vertical="center"/>
    </xf>
    <xf numFmtId="41" fontId="5" fillId="0" borderId="0" xfId="3" applyFont="1" applyBorder="1" applyAlignment="1">
      <alignment vertical="center"/>
    </xf>
    <xf numFmtId="41" fontId="8" fillId="0" borderId="1" xfId="3" applyFont="1" applyBorder="1" applyAlignment="1">
      <alignment vertical="center"/>
    </xf>
    <xf numFmtId="41" fontId="19" fillId="0" borderId="0" xfId="3" applyFont="1" applyAlignment="1">
      <alignment horizontal="left" vertical="center"/>
    </xf>
    <xf numFmtId="41" fontId="19" fillId="0" borderId="0" xfId="3" applyFont="1" applyBorder="1" applyAlignment="1">
      <alignment horizontal="left" vertical="center"/>
    </xf>
    <xf numFmtId="41" fontId="19" fillId="0" borderId="0" xfId="3" applyFont="1" applyAlignment="1">
      <alignment horizontal="center" vertical="center"/>
    </xf>
    <xf numFmtId="41" fontId="19" fillId="0" borderId="0" xfId="3" applyFont="1" applyFill="1" applyBorder="1">
      <alignment vertical="center"/>
    </xf>
    <xf numFmtId="41" fontId="19" fillId="0" borderId="0" xfId="3" applyFont="1" applyAlignment="1">
      <alignment vertical="center"/>
    </xf>
    <xf numFmtId="41" fontId="20" fillId="0" borderId="0" xfId="3" applyFont="1" applyAlignment="1">
      <alignment horizontal="center" vertical="center"/>
    </xf>
    <xf numFmtId="41" fontId="21" fillId="0" borderId="0" xfId="3" applyFont="1" applyBorder="1" applyAlignment="1">
      <alignment vertical="center"/>
    </xf>
    <xf numFmtId="41" fontId="19" fillId="0" borderId="0" xfId="3" applyFont="1" applyBorder="1" applyAlignment="1">
      <alignment horizontal="center" vertical="center"/>
    </xf>
    <xf numFmtId="41" fontId="3" fillId="0" borderId="0" xfId="3" applyFont="1" applyAlignment="1">
      <alignment vertical="center"/>
    </xf>
    <xf numFmtId="41" fontId="13" fillId="0" borderId="2" xfId="3" applyFont="1" applyBorder="1" applyAlignment="1">
      <alignment horizontal="right" vertical="center"/>
    </xf>
    <xf numFmtId="41" fontId="6" fillId="0" borderId="1" xfId="3" applyFont="1" applyBorder="1" applyAlignment="1">
      <alignment vertical="center"/>
    </xf>
    <xf numFmtId="179" fontId="3" fillId="0" borderId="0" xfId="3" applyNumberFormat="1" applyFont="1" applyAlignment="1">
      <alignment vertical="center"/>
    </xf>
    <xf numFmtId="41" fontId="0" fillId="0" borderId="0" xfId="0" applyNumberFormat="1">
      <alignment vertical="center"/>
    </xf>
    <xf numFmtId="41" fontId="17" fillId="0" borderId="1" xfId="3" applyFont="1" applyBorder="1" applyAlignment="1">
      <alignment horizontal="center" vertical="center"/>
    </xf>
    <xf numFmtId="41" fontId="4" fillId="0" borderId="0" xfId="3" applyFont="1" applyAlignment="1">
      <alignment horizontal="center" vertical="center"/>
    </xf>
    <xf numFmtId="41" fontId="9" fillId="0" borderId="0" xfId="3" applyFont="1" applyAlignment="1">
      <alignment horizontal="center" vertical="center"/>
    </xf>
    <xf numFmtId="41" fontId="11" fillId="0" borderId="3" xfId="3" applyFont="1" applyBorder="1" applyAlignment="1">
      <alignment horizontal="center" vertical="center"/>
    </xf>
    <xf numFmtId="41" fontId="11" fillId="0" borderId="0" xfId="3" applyFont="1" applyBorder="1" applyAlignment="1">
      <alignment horizontal="center" vertical="center"/>
    </xf>
    <xf numFmtId="41" fontId="11" fillId="0" borderId="1" xfId="3" applyFont="1" applyBorder="1" applyAlignment="1">
      <alignment horizontal="center" vertical="center"/>
    </xf>
    <xf numFmtId="41" fontId="7" fillId="0" borderId="0" xfId="3" applyFont="1" applyAlignment="1">
      <alignment horizontal="center" vertical="center"/>
    </xf>
    <xf numFmtId="6" fontId="6" fillId="0" borderId="1" xfId="4" applyNumberFormat="1" applyFont="1" applyBorder="1" applyAlignment="1">
      <alignment horizontal="left" vertical="center"/>
    </xf>
    <xf numFmtId="42" fontId="6" fillId="0" borderId="1" xfId="4" applyFont="1" applyBorder="1" applyAlignment="1">
      <alignment horizontal="left" vertical="center"/>
    </xf>
    <xf numFmtId="14" fontId="7" fillId="0" borderId="1" xfId="3" applyNumberFormat="1" applyFont="1" applyBorder="1" applyAlignment="1">
      <alignment horizontal="right" vertical="center"/>
    </xf>
    <xf numFmtId="41" fontId="7" fillId="0" borderId="1" xfId="3" applyFont="1" applyBorder="1" applyAlignment="1">
      <alignment horizontal="right" vertical="center"/>
    </xf>
    <xf numFmtId="41" fontId="13" fillId="0" borderId="2" xfId="3" applyFont="1" applyBorder="1" applyAlignment="1">
      <alignment horizontal="right" vertical="center"/>
    </xf>
    <xf numFmtId="41" fontId="4" fillId="0" borderId="3" xfId="3" applyFont="1" applyBorder="1" applyAlignment="1">
      <alignment horizontal="center" vertical="center"/>
    </xf>
    <xf numFmtId="41" fontId="4" fillId="0" borderId="1" xfId="3" applyFont="1" applyBorder="1" applyAlignment="1">
      <alignment horizontal="center" vertical="center"/>
    </xf>
  </cellXfs>
  <cellStyles count="5">
    <cellStyle name="쉼표 [0] 10" xfId="1" xr:uid="{36DD4478-F53A-4132-9A8B-CD7285A56BBD}"/>
    <cellStyle name="쉼표 [0] 2 2 2 2 14" xfId="3" xr:uid="{6D8C9796-3284-4586-AF86-BF7AE986AC98}"/>
    <cellStyle name="쉼표 [0] 4" xfId="2" xr:uid="{25E7724E-BC02-427E-95FF-E6825982670D}"/>
    <cellStyle name="통화 [0] 2" xfId="4" xr:uid="{7ACC69A1-9078-40D2-875D-3E33975508E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1343025</xdr:colOff>
      <xdr:row>4</xdr:row>
      <xdr:rowOff>285750</xdr:rowOff>
    </xdr:from>
    <xdr:to>
      <xdr:col>3</xdr:col>
      <xdr:colOff>638176</xdr:colOff>
      <xdr:row>6</xdr:row>
      <xdr:rowOff>266700</xdr:rowOff>
    </xdr:to>
    <xdr:pic>
      <xdr:nvPicPr>
        <xdr:cNvPr id="2" name="Picture 2" descr="인감01">
          <a:extLst>
            <a:ext uri="{FF2B5EF4-FFF2-40B4-BE49-F238E27FC236}">
              <a16:creationId xmlns:a16="http://schemas.microsoft.com/office/drawing/2014/main" id="{E3C1B16D-50B7-4F38-8518-DFCCD1E88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43325" y="2238375"/>
          <a:ext cx="638176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34438</xdr:colOff>
      <xdr:row>4</xdr:row>
      <xdr:rowOff>80816</xdr:rowOff>
    </xdr:from>
    <xdr:to>
      <xdr:col>0</xdr:col>
      <xdr:colOff>612914</xdr:colOff>
      <xdr:row>5</xdr:row>
      <xdr:rowOff>123825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EFB0141-E976-4D5F-BF03-D9A76234C0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657" t="41132" r="58694" b="43178"/>
        <a:stretch/>
      </xdr:blipFill>
      <xdr:spPr>
        <a:xfrm>
          <a:off x="34438" y="2033441"/>
          <a:ext cx="578476" cy="357334"/>
        </a:xfrm>
        <a:prstGeom prst="rect">
          <a:avLst/>
        </a:prstGeom>
      </xdr:spPr>
    </xdr:pic>
    <xdr:clientData/>
  </xdr:twoCellAnchor>
  <xdr:twoCellAnchor editAs="oneCell">
    <xdr:from>
      <xdr:col>0</xdr:col>
      <xdr:colOff>46161</xdr:colOff>
      <xdr:row>6</xdr:row>
      <xdr:rowOff>3666</xdr:rowOff>
    </xdr:from>
    <xdr:to>
      <xdr:col>0</xdr:col>
      <xdr:colOff>608569</xdr:colOff>
      <xdr:row>6</xdr:row>
      <xdr:rowOff>114680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DC3C08C-B0F6-448C-96DB-BDE517900D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122" t="43776" r="29044" b="43178"/>
        <a:stretch/>
      </xdr:blipFill>
      <xdr:spPr>
        <a:xfrm>
          <a:off x="46161" y="2584941"/>
          <a:ext cx="562408" cy="111014"/>
        </a:xfrm>
        <a:prstGeom prst="rect">
          <a:avLst/>
        </a:prstGeom>
      </xdr:spPr>
    </xdr:pic>
    <xdr:clientData/>
  </xdr:twoCellAnchor>
  <xdr:twoCellAnchor editAs="oneCell">
    <xdr:from>
      <xdr:col>6</xdr:col>
      <xdr:colOff>604630</xdr:colOff>
      <xdr:row>42</xdr:row>
      <xdr:rowOff>0</xdr:rowOff>
    </xdr:from>
    <xdr:to>
      <xdr:col>7</xdr:col>
      <xdr:colOff>946507</xdr:colOff>
      <xdr:row>43</xdr:row>
      <xdr:rowOff>85147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5846403-98FF-432C-8A89-238A2AFD7C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657" t="41132" r="29044" b="43178"/>
        <a:stretch/>
      </xdr:blipFill>
      <xdr:spPr>
        <a:xfrm>
          <a:off x="6891130" y="12604913"/>
          <a:ext cx="1580127" cy="3613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C2737-D64B-4703-96C4-1C420A467E50}">
  <dimension ref="A1:R1347"/>
  <sheetViews>
    <sheetView tabSelected="1" view="pageBreakPreview" topLeftCell="A13" zoomScaleNormal="100" zoomScaleSheetLayoutView="100" workbookViewId="0">
      <selection activeCell="A29" sqref="A29:B29"/>
    </sheetView>
  </sheetViews>
  <sheetFormatPr defaultRowHeight="16.5"/>
  <cols>
    <col min="1" max="1" width="16.25" style="44" customWidth="1"/>
    <col min="2" max="2" width="16.625" style="44" customWidth="1"/>
    <col min="3" max="3" width="16.25" style="44" customWidth="1"/>
    <col min="4" max="4" width="8.5" style="44" customWidth="1"/>
    <col min="5" max="5" width="12.125" style="44" customWidth="1"/>
    <col min="6" max="6" width="12.75" style="44" customWidth="1"/>
    <col min="7" max="7" width="16.25" style="44" customWidth="1"/>
    <col min="8" max="8" width="14.25" style="44" customWidth="1"/>
    <col min="16" max="16" width="11.25" bestFit="1" customWidth="1"/>
    <col min="18" max="18" width="9.375" bestFit="1" customWidth="1"/>
  </cols>
  <sheetData>
    <row r="1" spans="1:18" ht="79.5" customHeight="1">
      <c r="A1" s="51" t="s">
        <v>1</v>
      </c>
      <c r="B1" s="51"/>
      <c r="C1" s="51"/>
      <c r="D1" s="51"/>
      <c r="E1" s="51"/>
      <c r="F1" s="51"/>
      <c r="G1" s="51"/>
      <c r="H1" s="51"/>
    </row>
    <row r="2" spans="1:18" ht="24.95" customHeight="1">
      <c r="A2" s="1"/>
      <c r="B2" s="1"/>
      <c r="C2" s="1"/>
      <c r="D2" s="1"/>
      <c r="E2" s="1"/>
      <c r="F2" s="46" t="s">
        <v>36</v>
      </c>
      <c r="G2" s="58" t="e">
        <f>#REF!</f>
        <v>#REF!</v>
      </c>
      <c r="H2" s="59"/>
    </row>
    <row r="3" spans="1:18" ht="24.95" customHeight="1">
      <c r="A3" s="2" t="s">
        <v>2</v>
      </c>
      <c r="B3" s="3" t="e">
        <f>#REF!</f>
        <v>#REF!</v>
      </c>
      <c r="C3" s="4"/>
      <c r="D3" s="4"/>
      <c r="E3" s="4"/>
      <c r="F3" s="60" t="e">
        <f>#REF!</f>
        <v>#REF!</v>
      </c>
      <c r="G3" s="60"/>
      <c r="H3" s="45" t="s">
        <v>35</v>
      </c>
      <c r="P3">
        <v>426000</v>
      </c>
    </row>
    <row r="4" spans="1:18" ht="24.95" customHeight="1">
      <c r="A4" s="5" t="s">
        <v>3</v>
      </c>
      <c r="B4" s="5"/>
      <c r="C4" s="5"/>
      <c r="D4" s="6"/>
      <c r="E4" s="52"/>
      <c r="F4" s="7"/>
      <c r="G4" s="8"/>
      <c r="H4" s="8"/>
      <c r="N4" t="e">
        <f>#REF!</f>
        <v>#REF!</v>
      </c>
      <c r="O4" t="e">
        <f>#REF!</f>
        <v>#REF!</v>
      </c>
      <c r="P4" s="47" t="e">
        <f>N4*O4/1000000</f>
        <v>#REF!</v>
      </c>
      <c r="R4" s="48" t="e">
        <f>ROUNDUP(P4*426000,-1)</f>
        <v>#REF!</v>
      </c>
    </row>
    <row r="5" spans="1:18" ht="24.95" customHeight="1">
      <c r="A5" s="9" t="s">
        <v>4</v>
      </c>
      <c r="B5" s="10"/>
      <c r="C5" s="10"/>
      <c r="D5" s="11"/>
      <c r="E5" s="53"/>
      <c r="F5" s="10" t="s">
        <v>5</v>
      </c>
      <c r="G5" s="10"/>
      <c r="H5" s="8"/>
    </row>
    <row r="6" spans="1:18" ht="24.95" customHeight="1">
      <c r="A6" s="9" t="s">
        <v>6</v>
      </c>
      <c r="B6" s="10"/>
      <c r="C6" s="10"/>
      <c r="D6" s="11"/>
      <c r="E6" s="53"/>
      <c r="F6" s="10" t="s">
        <v>7</v>
      </c>
      <c r="G6" s="10"/>
      <c r="H6" s="8"/>
    </row>
    <row r="7" spans="1:18" ht="24.95" customHeight="1">
      <c r="A7" s="12" t="s">
        <v>8</v>
      </c>
      <c r="B7" s="13"/>
      <c r="C7" s="13"/>
      <c r="D7" s="13"/>
      <c r="E7" s="53"/>
      <c r="F7" s="10" t="s">
        <v>9</v>
      </c>
      <c r="G7" s="10"/>
      <c r="H7" s="8"/>
    </row>
    <row r="8" spans="1:18" ht="24.95" customHeight="1">
      <c r="A8" s="14" t="s">
        <v>10</v>
      </c>
      <c r="B8" s="15"/>
      <c r="C8" s="1"/>
      <c r="D8" s="1"/>
      <c r="E8" s="54"/>
      <c r="F8" s="1"/>
      <c r="G8" s="16"/>
      <c r="H8" s="1"/>
    </row>
    <row r="9" spans="1:18" ht="24.95" customHeight="1">
      <c r="A9" s="55" t="s">
        <v>11</v>
      </c>
      <c r="B9" s="55"/>
      <c r="C9" s="55"/>
      <c r="D9" s="55"/>
      <c r="E9" s="55"/>
      <c r="F9" s="55"/>
      <c r="G9" s="55"/>
      <c r="H9" s="55"/>
    </row>
    <row r="10" spans="1:18" ht="24.95" customHeight="1">
      <c r="A10" s="17" t="s">
        <v>12</v>
      </c>
      <c r="B10" s="17" t="e">
        <f>NUMBERSTRING(F10,1)&amp;"원정"</f>
        <v>#REF!</v>
      </c>
      <c r="C10" s="17"/>
      <c r="D10" s="17"/>
      <c r="E10" s="17"/>
      <c r="F10" s="56" t="e">
        <f>G34</f>
        <v>#REF!</v>
      </c>
      <c r="G10" s="57"/>
      <c r="H10" s="18" t="s">
        <v>13</v>
      </c>
    </row>
    <row r="11" spans="1:18" ht="20.100000000000001" customHeight="1">
      <c r="A11" s="61" t="s">
        <v>14</v>
      </c>
      <c r="B11" s="61"/>
      <c r="C11" s="19" t="s">
        <v>15</v>
      </c>
      <c r="D11" s="19" t="s">
        <v>16</v>
      </c>
      <c r="E11" s="19" t="s">
        <v>17</v>
      </c>
      <c r="F11" s="19" t="s">
        <v>18</v>
      </c>
      <c r="G11" s="19" t="s">
        <v>19</v>
      </c>
      <c r="H11" s="19" t="s">
        <v>20</v>
      </c>
    </row>
    <row r="12" spans="1:18" ht="20.100000000000001" customHeight="1">
      <c r="A12" s="62" t="s">
        <v>21</v>
      </c>
      <c r="B12" s="62"/>
      <c r="C12" s="20" t="s">
        <v>22</v>
      </c>
      <c r="D12" s="20" t="s">
        <v>23</v>
      </c>
      <c r="E12" s="20" t="s">
        <v>24</v>
      </c>
      <c r="F12" s="20" t="s">
        <v>25</v>
      </c>
      <c r="G12" s="20" t="s">
        <v>26</v>
      </c>
      <c r="H12" s="20" t="s">
        <v>27</v>
      </c>
    </row>
    <row r="13" spans="1:18" ht="21.95" customHeight="1">
      <c r="A13" s="61"/>
      <c r="B13" s="61"/>
      <c r="C13" s="21"/>
      <c r="D13" s="21"/>
      <c r="E13" s="21"/>
      <c r="F13" s="21"/>
      <c r="G13" s="21"/>
      <c r="H13" s="21"/>
    </row>
    <row r="14" spans="1:18" ht="21.95" customHeight="1">
      <c r="A14" s="50" t="s">
        <v>0</v>
      </c>
      <c r="B14" s="50"/>
      <c r="C14" s="22" t="e">
        <f>#REF!</f>
        <v>#REF!</v>
      </c>
      <c r="D14" s="22" t="s">
        <v>39</v>
      </c>
      <c r="E14" s="23">
        <v>2</v>
      </c>
      <c r="F14" s="24" t="e">
        <f>R4</f>
        <v>#REF!</v>
      </c>
      <c r="G14" s="25" t="e">
        <f t="shared" ref="G14:G24" si="0">F14*E14</f>
        <v>#REF!</v>
      </c>
      <c r="H14" s="26" t="e">
        <f>#REF!</f>
        <v>#REF!</v>
      </c>
    </row>
    <row r="15" spans="1:18" ht="21.95" customHeight="1">
      <c r="A15" s="50" t="s">
        <v>0</v>
      </c>
      <c r="B15" s="50"/>
      <c r="C15" s="22" t="s">
        <v>57</v>
      </c>
      <c r="D15" s="22" t="s">
        <v>39</v>
      </c>
      <c r="E15" s="23">
        <v>2</v>
      </c>
      <c r="F15" s="24">
        <v>57490</v>
      </c>
      <c r="G15" s="25">
        <f t="shared" si="0"/>
        <v>114980</v>
      </c>
      <c r="H15" s="26" t="s">
        <v>58</v>
      </c>
    </row>
    <row r="16" spans="1:18" ht="21.95" customHeight="1">
      <c r="A16" s="50" t="s">
        <v>40</v>
      </c>
      <c r="B16" s="50"/>
      <c r="C16" s="22" t="s">
        <v>47</v>
      </c>
      <c r="D16" s="22" t="s">
        <v>54</v>
      </c>
      <c r="E16" s="23">
        <v>1</v>
      </c>
      <c r="F16" s="24">
        <v>59000</v>
      </c>
      <c r="G16" s="25">
        <f t="shared" si="0"/>
        <v>59000</v>
      </c>
      <c r="H16" s="26"/>
    </row>
    <row r="17" spans="1:8" ht="21.95" customHeight="1">
      <c r="A17" s="50" t="s">
        <v>40</v>
      </c>
      <c r="B17" s="50"/>
      <c r="C17" s="22" t="s">
        <v>60</v>
      </c>
      <c r="D17" s="22" t="s">
        <v>54</v>
      </c>
      <c r="E17" s="23">
        <v>1</v>
      </c>
      <c r="F17" s="24">
        <v>78000</v>
      </c>
      <c r="G17" s="25">
        <f t="shared" si="0"/>
        <v>78000</v>
      </c>
      <c r="H17" s="26"/>
    </row>
    <row r="18" spans="1:8" ht="21.95" customHeight="1">
      <c r="A18" s="50" t="s">
        <v>41</v>
      </c>
      <c r="B18" s="50"/>
      <c r="C18" s="22" t="s">
        <v>48</v>
      </c>
      <c r="D18" s="22" t="s">
        <v>55</v>
      </c>
      <c r="E18" s="23">
        <v>1</v>
      </c>
      <c r="F18" s="24">
        <v>4000</v>
      </c>
      <c r="G18" s="25">
        <f t="shared" si="0"/>
        <v>4000</v>
      </c>
      <c r="H18" s="26"/>
    </row>
    <row r="19" spans="1:8" ht="21.95" customHeight="1">
      <c r="A19" s="50" t="s">
        <v>42</v>
      </c>
      <c r="B19" s="50"/>
      <c r="C19" s="22" t="s">
        <v>49</v>
      </c>
      <c r="D19" s="22" t="s">
        <v>55</v>
      </c>
      <c r="E19" s="23">
        <v>1</v>
      </c>
      <c r="F19" s="24">
        <v>18500</v>
      </c>
      <c r="G19" s="25">
        <f t="shared" si="0"/>
        <v>18500</v>
      </c>
      <c r="H19" s="26"/>
    </row>
    <row r="20" spans="1:8" ht="21.95" customHeight="1">
      <c r="A20" s="50" t="s">
        <v>43</v>
      </c>
      <c r="B20" s="50"/>
      <c r="C20" s="22" t="s">
        <v>50</v>
      </c>
      <c r="D20" s="22" t="s">
        <v>55</v>
      </c>
      <c r="E20" s="23">
        <v>10</v>
      </c>
      <c r="F20" s="24">
        <v>6000</v>
      </c>
      <c r="G20" s="25">
        <f t="shared" si="0"/>
        <v>60000</v>
      </c>
      <c r="H20" s="26"/>
    </row>
    <row r="21" spans="1:8" ht="21.95" customHeight="1">
      <c r="A21" s="50" t="s">
        <v>44</v>
      </c>
      <c r="B21" s="50"/>
      <c r="C21" s="22" t="s">
        <v>51</v>
      </c>
      <c r="D21" s="22" t="s">
        <v>55</v>
      </c>
      <c r="E21" s="23">
        <v>1</v>
      </c>
      <c r="F21" s="24">
        <v>3900</v>
      </c>
      <c r="G21" s="25">
        <f t="shared" si="0"/>
        <v>3900</v>
      </c>
      <c r="H21" s="26"/>
    </row>
    <row r="22" spans="1:8" ht="21.95" customHeight="1">
      <c r="A22" s="50" t="s">
        <v>45</v>
      </c>
      <c r="B22" s="50"/>
      <c r="C22" s="22" t="s">
        <v>52</v>
      </c>
      <c r="D22" s="22" t="s">
        <v>56</v>
      </c>
      <c r="E22" s="23">
        <v>1</v>
      </c>
      <c r="F22" s="24">
        <v>16000</v>
      </c>
      <c r="G22" s="25">
        <f t="shared" si="0"/>
        <v>16000</v>
      </c>
      <c r="H22" s="27"/>
    </row>
    <row r="23" spans="1:8" ht="21.95" customHeight="1">
      <c r="A23" s="50" t="s">
        <v>46</v>
      </c>
      <c r="B23" s="50"/>
      <c r="C23" s="22" t="s">
        <v>53</v>
      </c>
      <c r="D23" s="22" t="s">
        <v>56</v>
      </c>
      <c r="E23" s="23">
        <v>1</v>
      </c>
      <c r="F23" s="24">
        <v>23000</v>
      </c>
      <c r="G23" s="25">
        <f t="shared" si="0"/>
        <v>23000</v>
      </c>
      <c r="H23" s="27"/>
    </row>
    <row r="24" spans="1:8" ht="21.95" customHeight="1">
      <c r="A24" s="50" t="s">
        <v>59</v>
      </c>
      <c r="B24" s="50"/>
      <c r="C24" s="22"/>
      <c r="D24" s="22" t="s">
        <v>61</v>
      </c>
      <c r="E24" s="23">
        <v>1</v>
      </c>
      <c r="F24" s="24">
        <v>50000</v>
      </c>
      <c r="G24" s="25">
        <f t="shared" si="0"/>
        <v>50000</v>
      </c>
      <c r="H24" s="27"/>
    </row>
    <row r="25" spans="1:8" ht="21.95" customHeight="1">
      <c r="A25" s="50"/>
      <c r="B25" s="50"/>
      <c r="C25" s="22"/>
      <c r="D25" s="22"/>
      <c r="E25" s="23"/>
      <c r="F25" s="24"/>
      <c r="G25" s="25"/>
      <c r="H25" s="27"/>
    </row>
    <row r="26" spans="1:8" ht="21.95" customHeight="1">
      <c r="A26" s="50"/>
      <c r="B26" s="50"/>
      <c r="C26" s="22"/>
      <c r="D26" s="22"/>
      <c r="E26" s="23"/>
      <c r="F26" s="24"/>
      <c r="G26" s="25"/>
      <c r="H26" s="27"/>
    </row>
    <row r="27" spans="1:8" ht="21.95" customHeight="1">
      <c r="A27" s="50"/>
      <c r="B27" s="50"/>
      <c r="C27" s="22"/>
      <c r="D27" s="22"/>
      <c r="E27" s="23"/>
      <c r="F27" s="24"/>
      <c r="G27" s="25"/>
      <c r="H27" s="27"/>
    </row>
    <row r="28" spans="1:8" ht="21.95" customHeight="1">
      <c r="A28" s="50"/>
      <c r="B28" s="50"/>
      <c r="C28" s="22"/>
      <c r="D28" s="22"/>
      <c r="E28" s="23"/>
      <c r="F28" s="24"/>
      <c r="G28" s="25"/>
      <c r="H28" s="27"/>
    </row>
    <row r="29" spans="1:8" ht="21.95" customHeight="1">
      <c r="A29" s="50"/>
      <c r="B29" s="50"/>
      <c r="C29" s="22"/>
      <c r="D29" s="22"/>
      <c r="E29" s="23"/>
      <c r="F29" s="24"/>
      <c r="G29" s="25"/>
      <c r="H29" s="27"/>
    </row>
    <row r="30" spans="1:8" ht="21.95" customHeight="1">
      <c r="A30" s="50"/>
      <c r="B30" s="50"/>
      <c r="C30" s="22"/>
      <c r="D30" s="22"/>
      <c r="E30" s="23"/>
      <c r="F30" s="24"/>
      <c r="G30" s="25"/>
      <c r="H30" s="27"/>
    </row>
    <row r="31" spans="1:8" ht="21.95" customHeight="1">
      <c r="A31" s="50"/>
      <c r="B31" s="50"/>
      <c r="C31" s="22"/>
      <c r="D31" s="22"/>
      <c r="E31" s="23"/>
      <c r="F31" s="24"/>
      <c r="G31" s="25"/>
      <c r="H31" s="27"/>
    </row>
    <row r="32" spans="1:8" ht="21.95" customHeight="1">
      <c r="A32" s="50"/>
      <c r="B32" s="50"/>
      <c r="C32" s="22"/>
      <c r="D32" s="22"/>
      <c r="E32" s="23"/>
      <c r="F32" s="24"/>
      <c r="G32" s="25"/>
      <c r="H32" s="27"/>
    </row>
    <row r="33" spans="1:8" ht="21.95" customHeight="1">
      <c r="A33" s="50"/>
      <c r="B33" s="50"/>
      <c r="C33" s="22"/>
      <c r="D33" s="22"/>
      <c r="E33" s="23"/>
      <c r="F33" s="24"/>
      <c r="G33" s="25"/>
      <c r="H33" s="27"/>
    </row>
    <row r="34" spans="1:8" ht="21.95" customHeight="1">
      <c r="A34" s="49" t="s">
        <v>28</v>
      </c>
      <c r="B34" s="49"/>
      <c r="C34" s="28"/>
      <c r="D34" s="28"/>
      <c r="E34" s="28"/>
      <c r="F34" s="29"/>
      <c r="G34" s="30" t="e">
        <f>SUM(G14:G33)</f>
        <v>#REF!</v>
      </c>
      <c r="H34" s="29"/>
    </row>
    <row r="35" spans="1:8" ht="21.95" customHeight="1">
      <c r="A35" s="31" t="s">
        <v>29</v>
      </c>
      <c r="B35" s="31"/>
      <c r="C35" s="31"/>
      <c r="D35" s="31"/>
      <c r="E35" s="31"/>
      <c r="F35" s="31"/>
      <c r="G35" s="31"/>
      <c r="H35" s="31"/>
    </row>
    <row r="36" spans="1:8" ht="21.95" customHeight="1">
      <c r="A36" s="31" t="s">
        <v>30</v>
      </c>
      <c r="B36" s="31"/>
      <c r="C36" s="31"/>
      <c r="D36" s="31"/>
      <c r="E36" s="31"/>
      <c r="F36" s="31"/>
      <c r="G36" s="31"/>
      <c r="H36" s="31"/>
    </row>
    <row r="37" spans="1:8" ht="21.95" customHeight="1">
      <c r="A37" s="31" t="s">
        <v>31</v>
      </c>
      <c r="B37" s="31"/>
      <c r="C37" s="31"/>
      <c r="D37" s="31"/>
      <c r="E37" s="31"/>
      <c r="F37" s="31"/>
      <c r="G37" s="31"/>
      <c r="H37" s="31"/>
    </row>
    <row r="38" spans="1:8" ht="21.95" customHeight="1">
      <c r="A38" s="31" t="s">
        <v>32</v>
      </c>
      <c r="B38" s="32" t="e">
        <f>#REF!</f>
        <v>#REF!</v>
      </c>
      <c r="C38" s="31"/>
      <c r="D38" s="31"/>
      <c r="E38" s="31"/>
      <c r="F38" s="31"/>
      <c r="G38" s="31"/>
      <c r="H38" s="31"/>
    </row>
    <row r="39" spans="1:8" ht="21.95" customHeight="1">
      <c r="A39" s="31" t="s">
        <v>33</v>
      </c>
      <c r="B39" s="32" t="e">
        <f>#REF!</f>
        <v>#REF!</v>
      </c>
      <c r="C39" s="31"/>
      <c r="D39" s="31"/>
      <c r="E39" s="31"/>
      <c r="F39" s="31"/>
      <c r="G39" s="31"/>
      <c r="H39" s="31"/>
    </row>
    <row r="40" spans="1:8" ht="21.95" customHeight="1">
      <c r="A40" s="31" t="s">
        <v>34</v>
      </c>
      <c r="B40" s="33" t="e">
        <f>#REF!&amp;#REF!</f>
        <v>#REF!</v>
      </c>
      <c r="C40" s="31"/>
      <c r="D40" s="31"/>
      <c r="E40" s="31"/>
      <c r="F40" s="31"/>
      <c r="G40" s="31"/>
      <c r="H40" s="31"/>
    </row>
    <row r="41" spans="1:8" ht="21.95" customHeight="1">
      <c r="A41" s="31" t="s">
        <v>37</v>
      </c>
      <c r="B41" s="31"/>
      <c r="C41" s="31"/>
      <c r="D41" s="31"/>
      <c r="E41" s="31"/>
      <c r="F41" s="31"/>
      <c r="G41" s="31"/>
      <c r="H41" s="31"/>
    </row>
    <row r="42" spans="1:8" ht="21.95" customHeight="1">
      <c r="A42" s="31" t="s">
        <v>38</v>
      </c>
      <c r="B42" s="31"/>
      <c r="C42" s="31"/>
      <c r="D42" s="31"/>
      <c r="E42" s="31"/>
      <c r="F42" s="31"/>
      <c r="G42" s="31"/>
      <c r="H42" s="31"/>
    </row>
    <row r="43" spans="1:8" ht="21.95" customHeight="1">
      <c r="A43" s="34"/>
      <c r="B43" s="34"/>
      <c r="C43" s="34"/>
      <c r="D43" s="34"/>
      <c r="E43" s="34"/>
      <c r="F43" s="34"/>
      <c r="G43" s="34"/>
      <c r="H43" s="34"/>
    </row>
    <row r="44" spans="1:8" ht="21.95" customHeight="1">
      <c r="A44" s="35"/>
      <c r="B44" s="35"/>
      <c r="C44" s="35"/>
      <c r="D44" s="35"/>
      <c r="E44" s="35"/>
      <c r="F44" s="35"/>
      <c r="G44" s="35"/>
      <c r="H44" s="35"/>
    </row>
    <row r="45" spans="1:8">
      <c r="A45" s="36"/>
      <c r="B45" s="36"/>
      <c r="C45" s="37"/>
      <c r="D45" s="38"/>
      <c r="E45" s="39"/>
      <c r="F45" s="40"/>
      <c r="G45" s="37"/>
      <c r="H45" s="41"/>
    </row>
    <row r="46" spans="1:8">
      <c r="A46" s="36"/>
      <c r="B46" s="36"/>
      <c r="C46" s="37"/>
      <c r="D46" s="38"/>
      <c r="E46" s="39"/>
      <c r="F46" s="40"/>
      <c r="G46" s="37"/>
      <c r="H46" s="41"/>
    </row>
    <row r="47" spans="1:8">
      <c r="A47" s="36"/>
      <c r="B47" s="36"/>
      <c r="C47" s="37"/>
      <c r="D47" s="38"/>
      <c r="E47" s="39"/>
      <c r="F47" s="40"/>
      <c r="G47" s="37"/>
      <c r="H47" s="41"/>
    </row>
    <row r="48" spans="1:8">
      <c r="A48" s="36"/>
      <c r="B48" s="36"/>
      <c r="C48" s="37"/>
      <c r="D48" s="38"/>
      <c r="E48" s="39"/>
      <c r="F48" s="40"/>
      <c r="G48" s="37"/>
      <c r="H48" s="41"/>
    </row>
    <row r="49" spans="1:8">
      <c r="A49" s="36"/>
      <c r="B49" s="36"/>
      <c r="C49" s="37"/>
      <c r="D49" s="38"/>
      <c r="E49" s="39"/>
      <c r="F49" s="40"/>
      <c r="G49" s="37"/>
      <c r="H49" s="41"/>
    </row>
    <row r="50" spans="1:8">
      <c r="A50" s="36"/>
      <c r="B50" s="36"/>
      <c r="C50" s="37"/>
      <c r="D50" s="38"/>
      <c r="E50" s="39"/>
      <c r="F50" s="40"/>
      <c r="G50" s="37"/>
      <c r="H50" s="41"/>
    </row>
    <row r="51" spans="1:8">
      <c r="A51" s="36"/>
      <c r="B51" s="36"/>
      <c r="C51" s="37"/>
      <c r="D51" s="38"/>
      <c r="E51" s="39"/>
      <c r="F51" s="40"/>
      <c r="G51" s="37"/>
      <c r="H51" s="41"/>
    </row>
    <row r="52" spans="1:8">
      <c r="A52" s="36"/>
      <c r="B52" s="36"/>
      <c r="C52" s="37"/>
      <c r="D52" s="38"/>
      <c r="E52" s="39"/>
      <c r="F52" s="40"/>
      <c r="G52" s="37"/>
      <c r="H52" s="41"/>
    </row>
    <row r="53" spans="1:8">
      <c r="A53" s="36"/>
      <c r="B53" s="36"/>
      <c r="C53" s="37"/>
      <c r="D53" s="38"/>
      <c r="E53" s="39"/>
      <c r="F53" s="40"/>
      <c r="G53" s="37"/>
      <c r="H53" s="41"/>
    </row>
    <row r="54" spans="1:8">
      <c r="A54" s="36"/>
      <c r="B54" s="36"/>
      <c r="C54" s="37"/>
      <c r="D54" s="38"/>
      <c r="E54" s="39"/>
      <c r="F54" s="40"/>
      <c r="G54" s="37"/>
      <c r="H54" s="41"/>
    </row>
    <row r="55" spans="1:8">
      <c r="A55" s="36"/>
      <c r="B55" s="36"/>
      <c r="C55" s="37"/>
      <c r="D55" s="38"/>
      <c r="E55" s="39"/>
      <c r="F55" s="40"/>
      <c r="G55" s="37"/>
      <c r="H55" s="41"/>
    </row>
    <row r="56" spans="1:8">
      <c r="A56" s="36"/>
      <c r="B56" s="36"/>
      <c r="C56" s="37"/>
      <c r="D56" s="38"/>
      <c r="E56" s="39"/>
      <c r="F56" s="40"/>
      <c r="G56" s="37"/>
      <c r="H56" s="41"/>
    </row>
    <row r="57" spans="1:8">
      <c r="A57" s="36"/>
      <c r="B57" s="36"/>
      <c r="C57" s="37"/>
      <c r="D57" s="38"/>
      <c r="E57" s="39"/>
      <c r="F57" s="40"/>
      <c r="G57" s="37"/>
      <c r="H57" s="41"/>
    </row>
    <row r="58" spans="1:8">
      <c r="A58" s="36"/>
      <c r="B58" s="36"/>
      <c r="C58" s="37"/>
      <c r="D58" s="38"/>
      <c r="E58" s="39"/>
      <c r="F58" s="40"/>
      <c r="G58" s="37"/>
      <c r="H58" s="41"/>
    </row>
    <row r="59" spans="1:8">
      <c r="A59" s="36"/>
      <c r="B59" s="36"/>
      <c r="C59" s="37"/>
      <c r="D59" s="38"/>
      <c r="E59" s="39"/>
      <c r="F59" s="40"/>
      <c r="G59" s="37"/>
      <c r="H59" s="41"/>
    </row>
    <row r="60" spans="1:8">
      <c r="A60" s="36"/>
      <c r="B60" s="36"/>
      <c r="C60" s="37"/>
      <c r="D60" s="38"/>
      <c r="E60" s="39"/>
      <c r="F60" s="40"/>
      <c r="G60" s="37"/>
      <c r="H60" s="41"/>
    </row>
    <row r="61" spans="1:8">
      <c r="A61" s="36"/>
      <c r="B61" s="36"/>
      <c r="C61" s="37"/>
      <c r="D61" s="38"/>
      <c r="E61" s="39"/>
      <c r="F61" s="40"/>
      <c r="G61" s="37"/>
      <c r="H61" s="41"/>
    </row>
    <row r="62" spans="1:8">
      <c r="A62" s="36"/>
      <c r="B62" s="36"/>
      <c r="C62" s="37"/>
      <c r="D62" s="38"/>
      <c r="E62" s="39"/>
      <c r="F62" s="40"/>
      <c r="G62" s="37"/>
      <c r="H62" s="41"/>
    </row>
    <row r="63" spans="1:8">
      <c r="A63" s="36"/>
      <c r="B63" s="36"/>
      <c r="C63" s="37"/>
      <c r="D63" s="38"/>
      <c r="E63" s="39"/>
      <c r="F63" s="40"/>
      <c r="G63" s="37"/>
      <c r="H63" s="41"/>
    </row>
    <row r="64" spans="1:8">
      <c r="A64" s="36"/>
      <c r="B64" s="36"/>
      <c r="C64" s="37"/>
      <c r="D64" s="38"/>
      <c r="E64" s="39"/>
      <c r="F64" s="40"/>
      <c r="G64" s="37"/>
      <c r="H64" s="41"/>
    </row>
    <row r="65" spans="1:8">
      <c r="A65" s="36"/>
      <c r="B65" s="36"/>
      <c r="C65" s="37"/>
      <c r="D65" s="38"/>
      <c r="E65" s="39"/>
      <c r="F65" s="40"/>
      <c r="G65" s="37"/>
      <c r="H65" s="41"/>
    </row>
    <row r="66" spans="1:8">
      <c r="A66" s="36"/>
      <c r="B66" s="36"/>
      <c r="C66" s="37"/>
      <c r="D66" s="38"/>
      <c r="E66" s="39"/>
      <c r="F66" s="40"/>
      <c r="G66" s="37"/>
      <c r="H66" s="41"/>
    </row>
    <row r="67" spans="1:8">
      <c r="A67" s="36"/>
      <c r="B67" s="36"/>
      <c r="C67" s="37"/>
      <c r="D67" s="38"/>
      <c r="E67" s="39"/>
      <c r="F67" s="40"/>
      <c r="G67" s="37"/>
      <c r="H67" s="41"/>
    </row>
    <row r="68" spans="1:8">
      <c r="A68" s="36"/>
      <c r="B68" s="36"/>
      <c r="C68" s="37"/>
      <c r="D68" s="38"/>
      <c r="E68" s="39"/>
      <c r="F68" s="40"/>
      <c r="G68" s="37"/>
      <c r="H68" s="41"/>
    </row>
    <row r="69" spans="1:8">
      <c r="A69" s="36"/>
      <c r="B69" s="36"/>
      <c r="C69" s="37"/>
      <c r="D69" s="38"/>
      <c r="E69" s="39"/>
      <c r="F69" s="40"/>
      <c r="G69" s="37"/>
      <c r="H69" s="41"/>
    </row>
    <row r="70" spans="1:8">
      <c r="A70" s="42"/>
      <c r="B70" s="42"/>
      <c r="C70" s="42"/>
      <c r="D70" s="42"/>
      <c r="E70" s="42"/>
      <c r="F70" s="42"/>
      <c r="G70" s="42"/>
      <c r="H70" s="42"/>
    </row>
    <row r="71" spans="1:8">
      <c r="A71" s="43"/>
      <c r="B71" s="43"/>
      <c r="C71" s="43"/>
      <c r="D71" s="43"/>
      <c r="E71" s="43"/>
      <c r="F71" s="43"/>
      <c r="G71" s="43"/>
      <c r="H71" s="43"/>
    </row>
    <row r="72" spans="1:8">
      <c r="A72" s="43"/>
      <c r="B72" s="43"/>
      <c r="C72" s="43"/>
      <c r="D72" s="43"/>
      <c r="E72" s="43"/>
      <c r="F72" s="43"/>
      <c r="G72" s="43"/>
      <c r="H72" s="43"/>
    </row>
    <row r="73" spans="1:8">
      <c r="A73" s="36"/>
      <c r="B73" s="36"/>
      <c r="C73" s="37"/>
      <c r="D73" s="38"/>
      <c r="E73" s="39"/>
      <c r="F73" s="40"/>
      <c r="G73" s="37"/>
      <c r="H73" s="41"/>
    </row>
    <row r="74" spans="1:8">
      <c r="A74" s="36"/>
      <c r="B74" s="36"/>
      <c r="C74" s="37"/>
      <c r="D74" s="38"/>
      <c r="E74" s="39"/>
      <c r="F74" s="40"/>
      <c r="G74" s="37"/>
      <c r="H74" s="41"/>
    </row>
    <row r="75" spans="1:8">
      <c r="A75" s="36"/>
      <c r="B75" s="36"/>
      <c r="C75" s="37"/>
      <c r="D75" s="38"/>
      <c r="E75" s="39"/>
      <c r="F75" s="40"/>
      <c r="G75" s="37"/>
      <c r="H75" s="41"/>
    </row>
    <row r="76" spans="1:8">
      <c r="A76" s="36"/>
      <c r="B76" s="36"/>
      <c r="C76" s="37"/>
      <c r="D76" s="38"/>
      <c r="E76" s="39"/>
      <c r="F76" s="40"/>
      <c r="G76" s="37"/>
      <c r="H76" s="41"/>
    </row>
    <row r="77" spans="1:8">
      <c r="A77" s="36"/>
      <c r="B77" s="36"/>
      <c r="C77" s="37"/>
      <c r="D77" s="38"/>
      <c r="E77" s="39"/>
      <c r="F77" s="40"/>
      <c r="G77" s="37"/>
      <c r="H77" s="41"/>
    </row>
    <row r="78" spans="1:8">
      <c r="A78" s="36"/>
      <c r="B78" s="36"/>
      <c r="C78" s="37"/>
      <c r="D78" s="38"/>
      <c r="E78" s="39"/>
      <c r="F78" s="40"/>
      <c r="G78" s="37"/>
      <c r="H78" s="41"/>
    </row>
    <row r="79" spans="1:8">
      <c r="A79" s="36"/>
      <c r="B79" s="36"/>
      <c r="C79" s="37"/>
      <c r="D79" s="38"/>
      <c r="E79" s="39"/>
      <c r="F79" s="40"/>
      <c r="G79" s="37"/>
      <c r="H79" s="41"/>
    </row>
    <row r="80" spans="1:8">
      <c r="A80" s="36"/>
      <c r="B80" s="36"/>
      <c r="C80" s="37"/>
      <c r="D80" s="38"/>
      <c r="E80" s="39"/>
      <c r="F80" s="40"/>
      <c r="G80" s="37"/>
      <c r="H80" s="41"/>
    </row>
    <row r="81" spans="1:8">
      <c r="A81" s="36"/>
      <c r="B81" s="36"/>
      <c r="C81" s="37"/>
      <c r="D81" s="38"/>
      <c r="E81" s="39"/>
      <c r="F81" s="40"/>
      <c r="G81" s="37"/>
      <c r="H81" s="41"/>
    </row>
    <row r="82" spans="1:8">
      <c r="A82" s="36"/>
      <c r="B82" s="36"/>
      <c r="C82" s="37"/>
      <c r="D82" s="38"/>
      <c r="E82" s="39"/>
      <c r="F82" s="40"/>
      <c r="G82" s="37"/>
      <c r="H82" s="41"/>
    </row>
    <row r="83" spans="1:8">
      <c r="A83" s="36"/>
      <c r="B83" s="36"/>
      <c r="C83" s="37"/>
      <c r="D83" s="38"/>
      <c r="E83" s="39"/>
      <c r="F83" s="40"/>
      <c r="G83" s="37"/>
      <c r="H83" s="41"/>
    </row>
    <row r="84" spans="1:8">
      <c r="A84" s="36"/>
      <c r="B84" s="36"/>
      <c r="C84" s="37"/>
      <c r="D84" s="38"/>
      <c r="E84" s="39"/>
      <c r="F84" s="40"/>
      <c r="G84" s="37"/>
      <c r="H84" s="41"/>
    </row>
    <row r="85" spans="1:8">
      <c r="A85" s="36"/>
      <c r="B85" s="36"/>
      <c r="C85" s="37"/>
      <c r="D85" s="38"/>
      <c r="E85" s="39"/>
      <c r="F85" s="40"/>
      <c r="G85" s="37"/>
      <c r="H85" s="41"/>
    </row>
    <row r="86" spans="1:8">
      <c r="A86" s="36"/>
      <c r="B86" s="36"/>
      <c r="C86" s="37"/>
      <c r="D86" s="38"/>
      <c r="E86" s="39"/>
      <c r="F86" s="40"/>
      <c r="G86" s="37"/>
      <c r="H86" s="41"/>
    </row>
    <row r="87" spans="1:8">
      <c r="A87" s="36"/>
      <c r="B87" s="36"/>
      <c r="C87" s="37"/>
      <c r="D87" s="38"/>
      <c r="E87" s="39"/>
      <c r="F87" s="40"/>
      <c r="G87" s="37"/>
      <c r="H87" s="41"/>
    </row>
    <row r="88" spans="1:8">
      <c r="A88" s="36"/>
      <c r="B88" s="36"/>
      <c r="C88" s="37"/>
      <c r="D88" s="38"/>
      <c r="E88" s="39"/>
      <c r="F88" s="40"/>
      <c r="G88" s="37"/>
      <c r="H88" s="41"/>
    </row>
    <row r="89" spans="1:8">
      <c r="A89" s="36"/>
      <c r="B89" s="36"/>
      <c r="C89" s="37"/>
      <c r="D89" s="38"/>
      <c r="E89" s="39"/>
      <c r="F89" s="40"/>
      <c r="G89" s="37"/>
      <c r="H89" s="41"/>
    </row>
    <row r="90" spans="1:8">
      <c r="A90" s="36"/>
      <c r="B90" s="36"/>
      <c r="C90" s="37"/>
      <c r="D90" s="38"/>
      <c r="E90" s="39"/>
      <c r="F90" s="40"/>
      <c r="G90" s="37"/>
      <c r="H90" s="41"/>
    </row>
    <row r="91" spans="1:8">
      <c r="A91" s="36"/>
      <c r="B91" s="36"/>
      <c r="C91" s="37"/>
      <c r="D91" s="38"/>
      <c r="E91" s="39"/>
      <c r="F91" s="40"/>
      <c r="G91" s="37"/>
      <c r="H91" s="41"/>
    </row>
    <row r="92" spans="1:8">
      <c r="A92" s="36"/>
      <c r="B92" s="36"/>
      <c r="C92" s="37"/>
      <c r="D92" s="38"/>
      <c r="E92" s="39"/>
      <c r="F92" s="40"/>
      <c r="G92" s="37"/>
      <c r="H92" s="41"/>
    </row>
    <row r="93" spans="1:8">
      <c r="A93" s="36"/>
      <c r="B93" s="36"/>
      <c r="C93" s="37"/>
      <c r="D93" s="38"/>
      <c r="E93" s="39"/>
      <c r="F93" s="40"/>
      <c r="G93" s="37"/>
      <c r="H93" s="41"/>
    </row>
    <row r="94" spans="1:8">
      <c r="A94" s="36"/>
      <c r="B94" s="36"/>
      <c r="C94" s="37"/>
      <c r="D94" s="38"/>
      <c r="E94" s="39"/>
      <c r="F94" s="40"/>
      <c r="G94" s="37"/>
      <c r="H94" s="41"/>
    </row>
    <row r="95" spans="1:8">
      <c r="A95" s="36"/>
      <c r="B95" s="36"/>
      <c r="C95" s="37"/>
      <c r="D95" s="38"/>
      <c r="E95" s="39"/>
      <c r="F95" s="40"/>
      <c r="G95" s="37"/>
      <c r="H95" s="41"/>
    </row>
    <row r="96" spans="1:8">
      <c r="A96" s="36"/>
      <c r="B96" s="36"/>
      <c r="C96" s="37"/>
      <c r="D96" s="38"/>
      <c r="E96" s="39"/>
      <c r="F96" s="40"/>
      <c r="G96" s="37"/>
      <c r="H96" s="41"/>
    </row>
    <row r="97" spans="1:8">
      <c r="A97" s="36"/>
      <c r="B97" s="36"/>
      <c r="C97" s="37"/>
      <c r="D97" s="38"/>
      <c r="E97" s="39"/>
      <c r="F97" s="40"/>
      <c r="G97" s="37"/>
      <c r="H97" s="41"/>
    </row>
    <row r="98" spans="1:8">
      <c r="A98" s="36"/>
      <c r="B98" s="36"/>
      <c r="C98" s="37"/>
      <c r="D98" s="38"/>
      <c r="E98" s="39"/>
      <c r="F98" s="40"/>
      <c r="G98" s="37"/>
      <c r="H98" s="41"/>
    </row>
    <row r="99" spans="1:8">
      <c r="A99" s="36"/>
      <c r="B99" s="36"/>
      <c r="C99" s="37"/>
      <c r="D99" s="38"/>
      <c r="E99" s="39"/>
      <c r="F99" s="40"/>
      <c r="G99" s="37"/>
      <c r="H99" s="41"/>
    </row>
    <row r="100" spans="1:8">
      <c r="A100" s="36"/>
      <c r="B100" s="36"/>
      <c r="C100" s="37"/>
      <c r="D100" s="38"/>
      <c r="E100" s="39"/>
      <c r="F100" s="40"/>
      <c r="G100" s="37"/>
      <c r="H100" s="41"/>
    </row>
    <row r="101" spans="1:8">
      <c r="A101" s="36"/>
      <c r="B101" s="36"/>
      <c r="C101" s="37"/>
      <c r="D101" s="38"/>
      <c r="E101" s="39"/>
      <c r="F101" s="40"/>
      <c r="G101" s="37"/>
      <c r="H101" s="41"/>
    </row>
    <row r="102" spans="1:8">
      <c r="A102" s="36"/>
      <c r="B102" s="36"/>
      <c r="C102" s="37"/>
      <c r="D102" s="38"/>
      <c r="E102" s="39"/>
      <c r="F102" s="40"/>
      <c r="G102" s="37"/>
      <c r="H102" s="41"/>
    </row>
    <row r="103" spans="1:8">
      <c r="A103" s="36"/>
      <c r="B103" s="36"/>
      <c r="C103" s="37"/>
      <c r="D103" s="38"/>
      <c r="E103" s="39"/>
      <c r="F103" s="40"/>
      <c r="G103" s="37"/>
      <c r="H103" s="41"/>
    </row>
    <row r="104" spans="1:8">
      <c r="A104" s="36"/>
      <c r="B104" s="36"/>
      <c r="C104" s="37"/>
      <c r="D104" s="38"/>
      <c r="E104" s="39"/>
      <c r="F104" s="40"/>
      <c r="G104" s="37"/>
      <c r="H104" s="41"/>
    </row>
    <row r="105" spans="1:8">
      <c r="A105" s="36"/>
      <c r="B105" s="36"/>
      <c r="C105" s="37"/>
      <c r="D105" s="38"/>
      <c r="E105" s="39"/>
      <c r="F105" s="40"/>
      <c r="G105" s="37"/>
      <c r="H105" s="41"/>
    </row>
    <row r="106" spans="1:8">
      <c r="A106" s="36"/>
      <c r="B106" s="36"/>
      <c r="C106" s="37"/>
      <c r="D106" s="38"/>
      <c r="E106" s="39"/>
      <c r="F106" s="40"/>
      <c r="G106" s="37"/>
      <c r="H106" s="41"/>
    </row>
    <row r="107" spans="1:8">
      <c r="A107"/>
      <c r="B107"/>
      <c r="C107"/>
      <c r="D107"/>
      <c r="E107"/>
      <c r="F107"/>
      <c r="G107"/>
      <c r="H107"/>
    </row>
    <row r="108" spans="1:8">
      <c r="A108"/>
      <c r="B108"/>
      <c r="C108"/>
      <c r="D108"/>
      <c r="E108"/>
      <c r="F108"/>
      <c r="G108"/>
      <c r="H108"/>
    </row>
    <row r="109" spans="1:8">
      <c r="A109"/>
      <c r="B109"/>
      <c r="C109"/>
      <c r="D109"/>
      <c r="E109"/>
      <c r="F109"/>
      <c r="G109"/>
      <c r="H109"/>
    </row>
    <row r="110" spans="1:8">
      <c r="A110"/>
      <c r="B110"/>
      <c r="C110"/>
      <c r="D110"/>
      <c r="E110"/>
      <c r="F110"/>
      <c r="G110"/>
      <c r="H110"/>
    </row>
    <row r="111" spans="1:8">
      <c r="A111"/>
      <c r="B111"/>
      <c r="C111"/>
      <c r="D111"/>
      <c r="E111"/>
      <c r="F111"/>
      <c r="G111"/>
      <c r="H111"/>
    </row>
    <row r="112" spans="1:8">
      <c r="A112"/>
      <c r="B112"/>
      <c r="C112"/>
      <c r="D112"/>
      <c r="E112"/>
      <c r="F112"/>
      <c r="G112"/>
      <c r="H112"/>
    </row>
    <row r="113" spans="1:8">
      <c r="A113"/>
      <c r="B113"/>
      <c r="C113"/>
      <c r="D113"/>
      <c r="E113"/>
      <c r="F113"/>
      <c r="G113"/>
      <c r="H113"/>
    </row>
    <row r="114" spans="1:8">
      <c r="A114"/>
      <c r="B114"/>
      <c r="C114"/>
      <c r="D114"/>
      <c r="E114"/>
      <c r="F114"/>
      <c r="G114"/>
      <c r="H114"/>
    </row>
    <row r="115" spans="1:8">
      <c r="A115"/>
      <c r="B115"/>
      <c r="C115"/>
      <c r="D115"/>
      <c r="E115"/>
      <c r="F115"/>
      <c r="G115"/>
      <c r="H115"/>
    </row>
    <row r="116" spans="1:8">
      <c r="A116"/>
      <c r="B116"/>
      <c r="C116"/>
      <c r="D116"/>
      <c r="E116"/>
      <c r="F116"/>
      <c r="G116"/>
      <c r="H116"/>
    </row>
    <row r="117" spans="1:8">
      <c r="A117"/>
      <c r="B117"/>
      <c r="C117"/>
      <c r="D117"/>
      <c r="E117"/>
      <c r="F117"/>
      <c r="G117"/>
      <c r="H117"/>
    </row>
    <row r="118" spans="1:8">
      <c r="A118"/>
      <c r="B118"/>
      <c r="C118"/>
      <c r="D118"/>
      <c r="E118"/>
      <c r="F118"/>
      <c r="G118"/>
      <c r="H118"/>
    </row>
    <row r="119" spans="1:8">
      <c r="A119" s="36"/>
      <c r="B119" s="36"/>
      <c r="C119" s="37"/>
      <c r="D119" s="38"/>
      <c r="E119" s="39"/>
      <c r="F119" s="40"/>
      <c r="G119" s="37"/>
      <c r="H119" s="41"/>
    </row>
    <row r="120" spans="1:8">
      <c r="A120" s="36"/>
      <c r="B120" s="36"/>
      <c r="C120" s="37"/>
      <c r="D120" s="38"/>
      <c r="E120" s="39"/>
      <c r="F120" s="40"/>
      <c r="G120" s="37"/>
      <c r="H120" s="41"/>
    </row>
    <row r="121" spans="1:8">
      <c r="A121" s="36"/>
      <c r="B121" s="36"/>
      <c r="C121" s="37"/>
      <c r="D121" s="38"/>
      <c r="E121" s="39"/>
      <c r="F121" s="40"/>
      <c r="G121" s="37"/>
      <c r="H121" s="41"/>
    </row>
    <row r="122" spans="1:8">
      <c r="A122" s="36"/>
      <c r="B122" s="36"/>
      <c r="C122" s="37"/>
      <c r="D122" s="38"/>
      <c r="E122" s="39"/>
      <c r="F122" s="40"/>
      <c r="G122" s="37"/>
      <c r="H122" s="41"/>
    </row>
    <row r="123" spans="1:8">
      <c r="A123" s="36"/>
      <c r="B123" s="36"/>
      <c r="C123" s="37"/>
      <c r="D123" s="38"/>
      <c r="E123" s="39"/>
      <c r="F123" s="40"/>
      <c r="G123" s="37"/>
      <c r="H123" s="41"/>
    </row>
    <row r="124" spans="1:8">
      <c r="A124" s="36"/>
      <c r="B124" s="36"/>
      <c r="C124" s="37"/>
      <c r="D124" s="38"/>
      <c r="E124" s="39"/>
      <c r="F124" s="40"/>
      <c r="G124" s="37"/>
      <c r="H124" s="41"/>
    </row>
    <row r="125" spans="1:8">
      <c r="A125" s="36"/>
      <c r="B125" s="36"/>
      <c r="C125" s="37"/>
      <c r="D125" s="38"/>
      <c r="E125" s="39"/>
      <c r="F125" s="40"/>
      <c r="G125" s="37"/>
      <c r="H125" s="41"/>
    </row>
    <row r="126" spans="1:8">
      <c r="A126" s="36"/>
      <c r="B126" s="36"/>
      <c r="C126" s="37"/>
      <c r="D126" s="38"/>
      <c r="E126" s="39"/>
      <c r="F126" s="40"/>
      <c r="G126" s="37"/>
      <c r="H126" s="41"/>
    </row>
    <row r="127" spans="1:8">
      <c r="A127" s="36"/>
      <c r="B127" s="36"/>
      <c r="C127" s="37"/>
      <c r="D127" s="38"/>
      <c r="E127" s="39"/>
      <c r="F127" s="40"/>
      <c r="G127" s="37"/>
      <c r="H127" s="41"/>
    </row>
    <row r="128" spans="1:8">
      <c r="A128" s="36"/>
      <c r="B128" s="36"/>
      <c r="C128" s="37"/>
      <c r="D128" s="38"/>
      <c r="E128" s="39"/>
      <c r="F128" s="40"/>
      <c r="G128" s="37"/>
      <c r="H128" s="41"/>
    </row>
    <row r="129" spans="1:8">
      <c r="A129" s="36"/>
      <c r="B129" s="36"/>
      <c r="C129" s="37"/>
      <c r="D129" s="38"/>
      <c r="E129" s="39"/>
      <c r="F129" s="40"/>
      <c r="G129" s="37"/>
      <c r="H129" s="41"/>
    </row>
    <row r="130" spans="1:8">
      <c r="A130" s="36"/>
      <c r="B130" s="36"/>
      <c r="C130" s="37"/>
      <c r="D130" s="38"/>
      <c r="E130" s="39"/>
      <c r="F130" s="40"/>
      <c r="G130" s="37"/>
      <c r="H130" s="41"/>
    </row>
    <row r="131" spans="1:8">
      <c r="A131" s="36"/>
      <c r="B131" s="36"/>
      <c r="C131" s="37"/>
      <c r="D131" s="38"/>
      <c r="E131" s="39"/>
      <c r="F131" s="40"/>
      <c r="G131" s="37"/>
      <c r="H131" s="41"/>
    </row>
    <row r="132" spans="1:8">
      <c r="A132" s="36"/>
      <c r="B132" s="36"/>
      <c r="C132" s="37"/>
      <c r="D132" s="38"/>
      <c r="E132" s="39"/>
      <c r="F132" s="40"/>
      <c r="G132" s="37"/>
      <c r="H132" s="41"/>
    </row>
    <row r="133" spans="1:8">
      <c r="A133" s="36"/>
      <c r="B133" s="36"/>
      <c r="C133" s="37"/>
      <c r="D133" s="38"/>
      <c r="E133" s="39"/>
      <c r="F133" s="40"/>
      <c r="G133" s="37"/>
      <c r="H133" s="41"/>
    </row>
    <row r="134" spans="1:8">
      <c r="A134" s="36"/>
      <c r="B134" s="36"/>
      <c r="C134" s="37"/>
      <c r="D134" s="38"/>
      <c r="E134" s="39"/>
      <c r="F134" s="40"/>
      <c r="G134" s="37"/>
      <c r="H134" s="41"/>
    </row>
    <row r="135" spans="1:8">
      <c r="A135" s="36"/>
      <c r="B135" s="36"/>
      <c r="C135" s="37"/>
      <c r="D135" s="38"/>
      <c r="E135" s="39"/>
      <c r="F135" s="40"/>
      <c r="G135" s="37"/>
      <c r="H135" s="41"/>
    </row>
    <row r="136" spans="1:8">
      <c r="A136" s="36"/>
      <c r="B136" s="36"/>
      <c r="C136" s="37"/>
      <c r="D136" s="38"/>
      <c r="E136" s="39"/>
      <c r="F136" s="40"/>
      <c r="G136" s="37"/>
      <c r="H136" s="41"/>
    </row>
    <row r="137" spans="1:8">
      <c r="A137" s="36"/>
      <c r="B137" s="36"/>
      <c r="C137" s="37"/>
      <c r="D137" s="38"/>
      <c r="E137" s="39"/>
      <c r="F137" s="40"/>
      <c r="G137" s="37"/>
      <c r="H137" s="41"/>
    </row>
    <row r="138" spans="1:8">
      <c r="A138" s="36"/>
      <c r="B138" s="36"/>
      <c r="C138" s="37"/>
      <c r="D138" s="38"/>
      <c r="E138" s="39"/>
      <c r="F138" s="40"/>
      <c r="G138" s="37"/>
      <c r="H138" s="41"/>
    </row>
    <row r="139" spans="1:8">
      <c r="A139" s="36"/>
      <c r="B139" s="36"/>
      <c r="C139" s="37"/>
      <c r="D139" s="38"/>
      <c r="E139" s="39"/>
      <c r="F139" s="40"/>
      <c r="G139" s="37"/>
      <c r="H139" s="41"/>
    </row>
    <row r="140" spans="1:8">
      <c r="A140" s="36"/>
      <c r="B140" s="36"/>
      <c r="C140" s="37"/>
      <c r="D140" s="38"/>
      <c r="E140" s="39"/>
      <c r="F140" s="40"/>
      <c r="G140" s="37"/>
      <c r="H140" s="41"/>
    </row>
    <row r="141" spans="1:8">
      <c r="A141" s="36"/>
      <c r="B141" s="36"/>
      <c r="C141" s="37"/>
      <c r="D141" s="38"/>
      <c r="E141" s="39"/>
      <c r="F141" s="40"/>
      <c r="G141" s="37"/>
      <c r="H141" s="41"/>
    </row>
    <row r="142" spans="1:8">
      <c r="A142" s="36"/>
      <c r="B142" s="36"/>
      <c r="C142" s="37"/>
      <c r="D142" s="38"/>
      <c r="E142" s="39"/>
      <c r="F142" s="40"/>
      <c r="G142" s="37"/>
      <c r="H142" s="41"/>
    </row>
    <row r="143" spans="1:8">
      <c r="A143" s="36"/>
      <c r="B143" s="36"/>
      <c r="C143" s="37"/>
      <c r="D143" s="38"/>
      <c r="E143" s="39"/>
      <c r="F143" s="40"/>
      <c r="G143" s="37"/>
      <c r="H143" s="41"/>
    </row>
    <row r="144" spans="1:8">
      <c r="A144" s="36"/>
      <c r="B144" s="36"/>
      <c r="C144" s="37"/>
      <c r="D144" s="38"/>
      <c r="E144" s="39"/>
      <c r="F144" s="40"/>
      <c r="G144" s="37"/>
      <c r="H144" s="41"/>
    </row>
    <row r="145" spans="1:8">
      <c r="A145" s="36"/>
      <c r="B145" s="36"/>
      <c r="C145" s="37"/>
      <c r="D145" s="38"/>
      <c r="E145" s="39"/>
      <c r="F145" s="40"/>
      <c r="G145" s="37"/>
      <c r="H145" s="41"/>
    </row>
    <row r="146" spans="1:8">
      <c r="A146" s="36"/>
      <c r="B146" s="36"/>
      <c r="C146" s="37"/>
      <c r="D146" s="38"/>
      <c r="E146" s="39"/>
      <c r="F146" s="40"/>
      <c r="G146" s="37"/>
      <c r="H146" s="41"/>
    </row>
    <row r="147" spans="1:8">
      <c r="A147" s="36"/>
      <c r="B147" s="36"/>
      <c r="C147" s="37"/>
      <c r="D147" s="38"/>
      <c r="E147" s="39"/>
      <c r="F147" s="40"/>
      <c r="G147" s="37"/>
      <c r="H147" s="41"/>
    </row>
    <row r="148" spans="1:8">
      <c r="A148" s="36"/>
      <c r="B148" s="36"/>
      <c r="C148" s="37"/>
      <c r="D148" s="38"/>
      <c r="E148" s="39"/>
      <c r="F148" s="40"/>
      <c r="G148" s="37"/>
      <c r="H148" s="41"/>
    </row>
    <row r="149" spans="1:8">
      <c r="A149"/>
      <c r="B149"/>
      <c r="C149"/>
      <c r="D149"/>
      <c r="E149"/>
      <c r="F149"/>
      <c r="G149"/>
      <c r="H149"/>
    </row>
    <row r="150" spans="1:8">
      <c r="A150"/>
      <c r="B150"/>
      <c r="C150"/>
      <c r="D150"/>
      <c r="E150"/>
      <c r="F150"/>
      <c r="G150"/>
      <c r="H150"/>
    </row>
    <row r="151" spans="1:8">
      <c r="A151"/>
      <c r="B151"/>
      <c r="C151"/>
      <c r="D151"/>
      <c r="E151"/>
      <c r="F151"/>
      <c r="G151"/>
      <c r="H151"/>
    </row>
    <row r="152" spans="1:8">
      <c r="A152"/>
      <c r="B152"/>
      <c r="C152"/>
      <c r="D152"/>
      <c r="E152"/>
      <c r="F152"/>
      <c r="G152"/>
      <c r="H152"/>
    </row>
    <row r="153" spans="1:8">
      <c r="A153"/>
      <c r="B153"/>
      <c r="C153"/>
      <c r="D153"/>
      <c r="E153"/>
      <c r="F153"/>
      <c r="G153"/>
      <c r="H153"/>
    </row>
    <row r="154" spans="1:8">
      <c r="A154"/>
      <c r="B154"/>
      <c r="C154"/>
      <c r="D154"/>
      <c r="E154"/>
      <c r="F154"/>
      <c r="G154"/>
      <c r="H154"/>
    </row>
    <row r="155" spans="1:8">
      <c r="A155"/>
      <c r="B155"/>
      <c r="C155"/>
      <c r="D155"/>
      <c r="E155"/>
      <c r="F155"/>
      <c r="G155"/>
      <c r="H155"/>
    </row>
    <row r="156" spans="1:8">
      <c r="A156"/>
      <c r="B156"/>
      <c r="C156"/>
      <c r="D156"/>
      <c r="E156"/>
      <c r="F156"/>
      <c r="G156"/>
      <c r="H156"/>
    </row>
    <row r="157" spans="1:8">
      <c r="A157"/>
      <c r="B157"/>
      <c r="C157"/>
      <c r="D157"/>
      <c r="E157"/>
      <c r="F157"/>
      <c r="G157"/>
      <c r="H157"/>
    </row>
    <row r="158" spans="1:8">
      <c r="A158"/>
      <c r="B158"/>
      <c r="C158"/>
      <c r="D158"/>
      <c r="E158"/>
      <c r="F158"/>
      <c r="G158"/>
      <c r="H158"/>
    </row>
    <row r="159" spans="1:8">
      <c r="A159"/>
      <c r="B159"/>
      <c r="C159"/>
      <c r="D159"/>
      <c r="E159"/>
      <c r="F159"/>
      <c r="G159"/>
      <c r="H159"/>
    </row>
    <row r="160" spans="1:8">
      <c r="A160"/>
      <c r="B160"/>
      <c r="C160"/>
      <c r="D160"/>
      <c r="E160"/>
      <c r="F160"/>
      <c r="G160"/>
      <c r="H160"/>
    </row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customFormat="1"/>
    <row r="786" customFormat="1"/>
    <row r="787" customFormat="1"/>
    <row r="788" customFormat="1"/>
    <row r="789" customFormat="1"/>
    <row r="790" customFormat="1"/>
    <row r="791" customFormat="1"/>
    <row r="792" customFormat="1"/>
    <row r="793" customFormat="1"/>
    <row r="794" customFormat="1"/>
    <row r="795" customFormat="1"/>
    <row r="796" customFormat="1"/>
    <row r="797" customFormat="1"/>
    <row r="798" customFormat="1"/>
    <row r="799" customFormat="1"/>
    <row r="800" customFormat="1"/>
    <row r="801" customFormat="1"/>
    <row r="802" customFormat="1"/>
    <row r="803" customFormat="1"/>
    <row r="804" customFormat="1"/>
    <row r="805" customFormat="1"/>
    <row r="806" customFormat="1"/>
    <row r="807" customFormat="1"/>
    <row r="808" customFormat="1"/>
    <row r="809" customFormat="1"/>
    <row r="810" customFormat="1"/>
    <row r="811" customFormat="1"/>
    <row r="812" customFormat="1"/>
    <row r="813" customFormat="1"/>
    <row r="814" customFormat="1"/>
    <row r="815" customFormat="1"/>
    <row r="816" customFormat="1"/>
    <row r="817" customFormat="1"/>
    <row r="818" customFormat="1"/>
    <row r="819" customFormat="1"/>
    <row r="820" customFormat="1"/>
    <row r="821" customFormat="1"/>
    <row r="822" customFormat="1"/>
    <row r="823" customFormat="1"/>
    <row r="824" customFormat="1"/>
    <row r="825" customFormat="1"/>
    <row r="826" customFormat="1"/>
    <row r="827" customFormat="1"/>
    <row r="828" customFormat="1"/>
    <row r="829" customFormat="1"/>
    <row r="830" customFormat="1"/>
    <row r="831" customFormat="1"/>
    <row r="832" customFormat="1"/>
    <row r="833" customFormat="1"/>
    <row r="834" customFormat="1"/>
    <row r="835" customFormat="1"/>
    <row r="836" customFormat="1"/>
    <row r="837" customFormat="1"/>
    <row r="838" customFormat="1"/>
    <row r="839" customFormat="1"/>
    <row r="840" customFormat="1"/>
    <row r="841" customFormat="1"/>
    <row r="842" customFormat="1"/>
    <row r="843" customFormat="1"/>
    <row r="844" customFormat="1"/>
    <row r="845" customFormat="1"/>
    <row r="846" customFormat="1"/>
    <row r="847" customFormat="1"/>
    <row r="848" customFormat="1"/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  <row r="925" customFormat="1"/>
    <row r="926" customFormat="1"/>
    <row r="927" customFormat="1"/>
    <row r="928" customFormat="1"/>
    <row r="929" customFormat="1"/>
    <row r="930" customFormat="1"/>
    <row r="931" customFormat="1"/>
    <row r="932" customFormat="1"/>
    <row r="933" customFormat="1"/>
    <row r="934" customFormat="1"/>
    <row r="935" customFormat="1"/>
    <row r="936" customFormat="1"/>
    <row r="937" customFormat="1"/>
    <row r="938" customFormat="1"/>
    <row r="939" customFormat="1"/>
    <row r="940" customFormat="1"/>
    <row r="941" customFormat="1"/>
    <row r="942" customFormat="1"/>
    <row r="943" customFormat="1"/>
    <row r="944" customFormat="1"/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customFormat="1"/>
    <row r="962" customFormat="1"/>
    <row r="963" customFormat="1"/>
    <row r="964" customFormat="1"/>
    <row r="965" customFormat="1"/>
    <row r="966" customFormat="1"/>
    <row r="967" customFormat="1"/>
    <row r="968" customFormat="1"/>
    <row r="969" customFormat="1"/>
    <row r="970" customFormat="1"/>
    <row r="971" customFormat="1"/>
    <row r="972" customFormat="1"/>
    <row r="973" customFormat="1"/>
    <row r="974" customFormat="1"/>
    <row r="975" customFormat="1"/>
    <row r="976" customFormat="1"/>
    <row r="977" customFormat="1"/>
    <row r="978" customFormat="1"/>
    <row r="979" customFormat="1"/>
    <row r="980" customFormat="1"/>
    <row r="981" customFormat="1"/>
    <row r="982" customFormat="1"/>
    <row r="983" customFormat="1"/>
    <row r="984" customFormat="1"/>
    <row r="985" customFormat="1"/>
    <row r="986" customFormat="1"/>
    <row r="987" customFormat="1"/>
    <row r="988" customFormat="1"/>
    <row r="989" customFormat="1"/>
    <row r="990" customFormat="1"/>
    <row r="991" customFormat="1"/>
    <row r="992" customFormat="1"/>
    <row r="993" customFormat="1"/>
    <row r="994" customFormat="1"/>
    <row r="995" customFormat="1"/>
    <row r="996" customFormat="1"/>
    <row r="997" customFormat="1"/>
    <row r="998" customFormat="1"/>
    <row r="999" customFormat="1"/>
    <row r="1000" customFormat="1"/>
    <row r="1001" customFormat="1"/>
    <row r="1002" customFormat="1"/>
    <row r="1003" customFormat="1"/>
    <row r="1004" customFormat="1"/>
    <row r="1005" customFormat="1"/>
    <row r="1006" customFormat="1"/>
    <row r="1007" customFormat="1"/>
    <row r="1008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  <row r="1017" customFormat="1"/>
    <row r="1018" customFormat="1"/>
    <row r="1019" customFormat="1"/>
    <row r="1020" customFormat="1"/>
    <row r="1021" customFormat="1"/>
    <row r="1022" customFormat="1"/>
    <row r="1023" customFormat="1"/>
    <row r="1024" customFormat="1"/>
    <row r="1025" customFormat="1"/>
    <row r="1026" customFormat="1"/>
    <row r="1027" customFormat="1"/>
    <row r="1028" customFormat="1"/>
    <row r="1029" customFormat="1"/>
    <row r="1030" customFormat="1"/>
    <row r="1031" customFormat="1"/>
    <row r="1032" customFormat="1"/>
    <row r="1033" customFormat="1"/>
    <row r="1034" customFormat="1"/>
    <row r="1035" customFormat="1"/>
    <row r="1036" customFormat="1"/>
    <row r="1037" customFormat="1"/>
    <row r="1038" customFormat="1"/>
    <row r="1039" customFormat="1"/>
    <row r="1040" customFormat="1"/>
    <row r="1041" customFormat="1"/>
    <row r="1042" customFormat="1"/>
    <row r="1043" customFormat="1"/>
    <row r="1044" customFormat="1"/>
    <row r="1045" customFormat="1"/>
    <row r="1046" customFormat="1"/>
    <row r="1047" customFormat="1"/>
    <row r="1048" customFormat="1"/>
    <row r="1049" customFormat="1"/>
    <row r="1050" customFormat="1"/>
    <row r="1051" customFormat="1"/>
    <row r="1052" customFormat="1"/>
    <row r="1053" customFormat="1"/>
    <row r="1054" customFormat="1"/>
    <row r="1055" customFormat="1"/>
    <row r="1056" customFormat="1"/>
    <row r="1057" customFormat="1"/>
    <row r="1058" customFormat="1"/>
    <row r="1059" customFormat="1"/>
    <row r="1060" customFormat="1"/>
    <row r="1061" customFormat="1"/>
    <row r="1062" customFormat="1"/>
    <row r="1063" customFormat="1"/>
    <row r="1064" customFormat="1"/>
    <row r="1065" customFormat="1"/>
    <row r="1066" customFormat="1"/>
    <row r="1067" customFormat="1"/>
    <row r="1068" customFormat="1"/>
    <row r="1069" customFormat="1"/>
    <row r="1070" customFormat="1"/>
    <row r="1071" customFormat="1"/>
    <row r="1072" customFormat="1"/>
    <row r="1073" customFormat="1"/>
    <row r="1074" customFormat="1"/>
    <row r="1075" customFormat="1"/>
    <row r="1076" customFormat="1"/>
    <row r="1077" customFormat="1"/>
    <row r="1078" customFormat="1"/>
    <row r="1079" customFormat="1"/>
    <row r="1080" customFormat="1"/>
    <row r="1081" customFormat="1"/>
    <row r="1082" customFormat="1"/>
    <row r="1083" customFormat="1"/>
    <row r="1084" customFormat="1"/>
    <row r="1085" customFormat="1"/>
    <row r="1086" customFormat="1"/>
    <row r="1087" customFormat="1"/>
    <row r="1088" customFormat="1"/>
    <row r="1089" customFormat="1"/>
    <row r="1090" customFormat="1"/>
    <row r="1091" customFormat="1"/>
    <row r="1092" customFormat="1"/>
    <row r="1093" customFormat="1"/>
    <row r="1094" customFormat="1"/>
    <row r="1095" customFormat="1"/>
    <row r="1096" customFormat="1"/>
    <row r="1097" customFormat="1"/>
    <row r="1098" customFormat="1"/>
    <row r="1099" customFormat="1"/>
    <row r="1100" customFormat="1"/>
    <row r="1101" customFormat="1"/>
    <row r="1102" customFormat="1"/>
    <row r="1103" customFormat="1"/>
    <row r="1104" customFormat="1"/>
    <row r="1105" customFormat="1"/>
    <row r="1106" customFormat="1"/>
    <row r="1107" customFormat="1"/>
    <row r="1108" customFormat="1"/>
    <row r="1109" customFormat="1"/>
    <row r="1110" customFormat="1"/>
    <row r="1111" customFormat="1"/>
    <row r="1112" customFormat="1"/>
    <row r="1113" customFormat="1"/>
    <row r="1114" customFormat="1"/>
    <row r="1115" customFormat="1"/>
    <row r="1116" customFormat="1"/>
    <row r="1117" customFormat="1"/>
    <row r="1118" customFormat="1"/>
    <row r="1119" customFormat="1"/>
    <row r="1120" customFormat="1"/>
    <row r="1121" customFormat="1"/>
    <row r="1122" customFormat="1"/>
    <row r="1123" customFormat="1"/>
    <row r="1124" customFormat="1"/>
    <row r="1125" customFormat="1"/>
    <row r="1126" customFormat="1"/>
    <row r="1127" customFormat="1"/>
    <row r="1128" customFormat="1"/>
    <row r="1129" customFormat="1"/>
    <row r="1130" customFormat="1"/>
    <row r="1131" customFormat="1"/>
    <row r="1132" customFormat="1"/>
    <row r="1133" customFormat="1"/>
    <row r="1134" customFormat="1"/>
    <row r="1135" customFormat="1"/>
    <row r="1136" customFormat="1"/>
    <row r="1137" customFormat="1"/>
    <row r="1138" customFormat="1"/>
    <row r="1139" customFormat="1"/>
    <row r="1140" customFormat="1"/>
    <row r="1141" customFormat="1"/>
    <row r="1142" customFormat="1"/>
    <row r="1143" customFormat="1"/>
    <row r="1144" customFormat="1"/>
    <row r="1145" customFormat="1"/>
    <row r="1146" customFormat="1"/>
    <row r="1147" customFormat="1"/>
    <row r="1148" customFormat="1"/>
    <row r="1149" customFormat="1"/>
    <row r="1150" customFormat="1"/>
    <row r="1151" customFormat="1"/>
    <row r="1152" customFormat="1"/>
    <row r="1153" customFormat="1"/>
    <row r="1154" customFormat="1"/>
    <row r="1155" customFormat="1"/>
    <row r="1156" customFormat="1"/>
    <row r="1157" customFormat="1"/>
    <row r="1158" customFormat="1"/>
    <row r="1159" customFormat="1"/>
    <row r="1160" customFormat="1"/>
    <row r="1161" customFormat="1"/>
    <row r="1162" customFormat="1"/>
    <row r="1163" customFormat="1"/>
    <row r="1164" customFormat="1"/>
    <row r="1165" customFormat="1"/>
    <row r="1166" customFormat="1"/>
    <row r="1167" customFormat="1"/>
    <row r="1168" customFormat="1"/>
    <row r="1169" customFormat="1"/>
    <row r="1170" customFormat="1"/>
    <row r="1171" customFormat="1"/>
    <row r="1172" customFormat="1"/>
    <row r="1173" customFormat="1"/>
    <row r="1174" customFormat="1"/>
    <row r="1175" customFormat="1"/>
    <row r="1176" customFormat="1"/>
    <row r="1177" customFormat="1"/>
    <row r="1178" customFormat="1"/>
    <row r="1179" customFormat="1"/>
    <row r="1180" customFormat="1"/>
    <row r="1181" customFormat="1"/>
    <row r="1182" customFormat="1"/>
    <row r="1183" customFormat="1"/>
    <row r="1184" customFormat="1"/>
    <row r="1185" customFormat="1"/>
    <row r="1186" customFormat="1"/>
    <row r="1187" customFormat="1"/>
    <row r="1188" customFormat="1"/>
    <row r="1189" customFormat="1"/>
    <row r="1190" customFormat="1"/>
    <row r="1191" customFormat="1"/>
    <row r="1192" customFormat="1"/>
    <row r="1193" customFormat="1"/>
    <row r="1194" customFormat="1"/>
    <row r="1195" customFormat="1"/>
    <row r="1196" customFormat="1"/>
    <row r="1197" customFormat="1"/>
    <row r="1198" customFormat="1"/>
    <row r="1199" customFormat="1"/>
    <row r="1200" customFormat="1"/>
    <row r="1201" customFormat="1"/>
    <row r="1202" customFormat="1"/>
    <row r="1203" customFormat="1"/>
    <row r="1204" customFormat="1"/>
    <row r="1205" customFormat="1"/>
    <row r="1206" customFormat="1"/>
    <row r="1207" customFormat="1"/>
    <row r="1208" customFormat="1"/>
    <row r="1209" customFormat="1"/>
    <row r="1210" customFormat="1"/>
    <row r="1211" customFormat="1"/>
    <row r="1212" customFormat="1"/>
    <row r="1213" customFormat="1"/>
    <row r="1214" customFormat="1"/>
    <row r="1215" customFormat="1"/>
    <row r="1216" customFormat="1"/>
    <row r="1217" customFormat="1"/>
    <row r="1218" customFormat="1"/>
    <row r="1219" customFormat="1"/>
    <row r="1220" customFormat="1"/>
    <row r="1221" customFormat="1"/>
    <row r="1222" customFormat="1"/>
    <row r="1223" customFormat="1"/>
    <row r="1224" customFormat="1"/>
    <row r="1225" customFormat="1"/>
    <row r="1226" customFormat="1"/>
    <row r="1227" customFormat="1"/>
    <row r="1228" customFormat="1"/>
    <row r="1229" customFormat="1"/>
    <row r="1230" customFormat="1"/>
    <row r="1231" customFormat="1"/>
    <row r="1232" customFormat="1"/>
    <row r="1233" customFormat="1"/>
    <row r="1234" customFormat="1"/>
    <row r="1235" customFormat="1"/>
    <row r="1236" customFormat="1"/>
    <row r="1237" customFormat="1"/>
    <row r="1238" customFormat="1"/>
    <row r="1239" customFormat="1"/>
    <row r="1240" customFormat="1"/>
    <row r="1241" customFormat="1"/>
    <row r="1242" customFormat="1"/>
    <row r="1243" customFormat="1"/>
    <row r="1244" customFormat="1"/>
    <row r="1245" customFormat="1"/>
    <row r="1246" customFormat="1"/>
    <row r="1247" customFormat="1"/>
    <row r="1248" customFormat="1"/>
    <row r="1249" customFormat="1"/>
    <row r="1250" customFormat="1"/>
    <row r="1251" customFormat="1"/>
    <row r="1252" customFormat="1"/>
    <row r="1253" customFormat="1"/>
    <row r="1254" customFormat="1"/>
    <row r="1255" customFormat="1"/>
    <row r="1256" customFormat="1"/>
    <row r="1257" customFormat="1"/>
    <row r="1258" customFormat="1"/>
    <row r="1259" customFormat="1"/>
    <row r="1260" customFormat="1"/>
    <row r="1261" customFormat="1"/>
    <row r="1262" customFormat="1"/>
    <row r="1263" customFormat="1"/>
    <row r="1264" customFormat="1"/>
    <row r="1265" customFormat="1"/>
    <row r="1266" customFormat="1"/>
    <row r="1267" customFormat="1"/>
    <row r="1268" customFormat="1"/>
    <row r="1269" customFormat="1"/>
    <row r="1270" customFormat="1"/>
    <row r="1271" customFormat="1"/>
    <row r="1272" customFormat="1"/>
    <row r="1273" customFormat="1"/>
    <row r="1274" customFormat="1"/>
    <row r="1275" customFormat="1"/>
    <row r="1276" customFormat="1"/>
    <row r="1277" customFormat="1"/>
    <row r="1278" customFormat="1"/>
    <row r="1279" customFormat="1"/>
    <row r="1280" customFormat="1"/>
    <row r="1281" customFormat="1"/>
    <row r="1282" customFormat="1"/>
    <row r="1283" customFormat="1"/>
    <row r="1284" customFormat="1"/>
    <row r="1285" customFormat="1"/>
    <row r="1286" customFormat="1"/>
    <row r="1287" customFormat="1"/>
    <row r="1288" customFormat="1"/>
    <row r="1289" customFormat="1"/>
    <row r="1290" customFormat="1"/>
    <row r="1291" customFormat="1"/>
    <row r="1292" customFormat="1"/>
    <row r="1293" customFormat="1"/>
    <row r="1294" customFormat="1"/>
    <row r="1295" customFormat="1"/>
    <row r="1296" customFormat="1"/>
    <row r="1297" customFormat="1"/>
    <row r="1298" customFormat="1"/>
    <row r="1299" customFormat="1"/>
    <row r="1300" customFormat="1"/>
    <row r="1301" customFormat="1"/>
    <row r="1302" customFormat="1"/>
    <row r="1303" customFormat="1"/>
    <row r="1304" customFormat="1"/>
    <row r="1305" customFormat="1"/>
    <row r="1306" customFormat="1"/>
    <row r="1307" customFormat="1"/>
    <row r="1308" customFormat="1"/>
    <row r="1309" customFormat="1"/>
    <row r="1310" customFormat="1"/>
    <row r="1311" customFormat="1"/>
    <row r="1312" customFormat="1"/>
    <row r="1313" customFormat="1"/>
    <row r="1314" customFormat="1"/>
    <row r="1315" customFormat="1"/>
    <row r="1316" customFormat="1"/>
    <row r="1317" customFormat="1"/>
    <row r="1318" customFormat="1"/>
    <row r="1319" customFormat="1"/>
    <row r="1320" customFormat="1"/>
    <row r="1321" customFormat="1"/>
    <row r="1322" customFormat="1"/>
    <row r="1323" customFormat="1"/>
    <row r="1324" customFormat="1"/>
    <row r="1325" customFormat="1"/>
    <row r="1326" customFormat="1"/>
    <row r="1327" customFormat="1"/>
    <row r="1328" customFormat="1"/>
    <row r="1329" customFormat="1"/>
    <row r="1330" customFormat="1"/>
    <row r="1331" customFormat="1"/>
    <row r="1332" customFormat="1"/>
    <row r="1333" customFormat="1"/>
    <row r="1334" customFormat="1"/>
    <row r="1335" customFormat="1"/>
    <row r="1336" customFormat="1"/>
    <row r="1337" customFormat="1"/>
    <row r="1338" customFormat="1"/>
    <row r="1339" customFormat="1"/>
    <row r="1340" customFormat="1"/>
    <row r="1341" customFormat="1"/>
    <row r="1342" customFormat="1"/>
    <row r="1343" customFormat="1"/>
    <row r="1344" customFormat="1"/>
    <row r="1345" customFormat="1"/>
    <row r="1346" customFormat="1"/>
    <row r="1347" customFormat="1"/>
  </sheetData>
  <mergeCells count="30">
    <mergeCell ref="A30:B30"/>
    <mergeCell ref="A31:B31"/>
    <mergeCell ref="A32:B32"/>
    <mergeCell ref="A33:B33"/>
    <mergeCell ref="A34:B34"/>
    <mergeCell ref="A29:B29"/>
    <mergeCell ref="A18:B18"/>
    <mergeCell ref="A19:B19"/>
    <mergeCell ref="A21:B21"/>
    <mergeCell ref="A22:B22"/>
    <mergeCell ref="A23:B23"/>
    <mergeCell ref="A24:B24"/>
    <mergeCell ref="A25:B25"/>
    <mergeCell ref="A26:B26"/>
    <mergeCell ref="A27:B27"/>
    <mergeCell ref="A28:B28"/>
    <mergeCell ref="A20:B20"/>
    <mergeCell ref="A17:B17"/>
    <mergeCell ref="A1:H1"/>
    <mergeCell ref="G2:H2"/>
    <mergeCell ref="F3:G3"/>
    <mergeCell ref="E4:E8"/>
    <mergeCell ref="A9:H9"/>
    <mergeCell ref="F10:G10"/>
    <mergeCell ref="A11:B11"/>
    <mergeCell ref="A12:B12"/>
    <mergeCell ref="A13:B13"/>
    <mergeCell ref="A14:B14"/>
    <mergeCell ref="A16:B16"/>
    <mergeCell ref="A15:B15"/>
  </mergeCells>
  <phoneticPr fontId="2" type="noConversion"/>
  <pageMargins left="0.7" right="0.7" top="0.75" bottom="0.75" header="0.3" footer="0.3"/>
  <pageSetup paperSize="9" scale="69" orientation="portrait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전체 견적서</vt:lpstr>
      <vt:lpstr>'전체 견적서'!Print_Area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1318</cp:lastModifiedBy>
  <cp:lastPrinted>2026-05-22T07:47:58Z</cp:lastPrinted>
  <dcterms:created xsi:type="dcterms:W3CDTF">2025-09-11T05:24:53Z</dcterms:created>
  <dcterms:modified xsi:type="dcterms:W3CDTF">2026-06-08T06:22:44Z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tl_Rate" linkTarget="Prop_Matl_Rate">
    <vt:r8>0</vt:r8>
  </property>
  <property fmtid="{D5CDD505-2E9C-101B-9397-08002B2CF9AE}" pid="3" name="MD_Rate" linkTarget="Prop_MD_Rate">
    <vt:r8>0</vt:r8>
  </property>
</Properties>
</file>